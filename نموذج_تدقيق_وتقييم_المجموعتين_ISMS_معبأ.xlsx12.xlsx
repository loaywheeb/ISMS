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mer AL-Nehmi\Desktop\"/>
    </mc:Choice>
  </mc:AlternateContent>
  <xr:revisionPtr revIDLastSave="0" documentId="13_ncr:1_{6070AF53-52F7-471D-B5B3-90AD8259B4F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لوحة التقييم" sheetId="1" r:id="rId1"/>
    <sheet name="قائمة الملفات" sheetId="2" r:id="rId2"/>
    <sheet name="معايير التقييم" sheetId="3" r:id="rId3"/>
    <sheet name="سجل الأدلة والملاحظات" sheetId="4" r:id="rId4"/>
    <sheet name="التعليمات" sheetId="5" r:id="rId5"/>
  </sheets>
  <definedNames>
    <definedName name="_xlnm._FilterDatabase" localSheetId="3" hidden="1">'سجل الأدلة والملاحظات'!$A$4:$K$34</definedName>
    <definedName name="_xlnm._FilterDatabase" localSheetId="1" hidden="1">'قائمة الملفات'!$A$4:$L$19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" i="1" l="1"/>
  <c r="E13" i="1"/>
  <c r="D13" i="1"/>
  <c r="G12" i="1"/>
  <c r="E12" i="1"/>
  <c r="G11" i="1"/>
  <c r="E11" i="1"/>
  <c r="G10" i="1"/>
  <c r="E10" i="1"/>
  <c r="G9" i="1"/>
  <c r="G13" i="1" s="1"/>
  <c r="E9" i="1"/>
  <c r="G8" i="1"/>
  <c r="E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3" authorId="0" shapeId="0" xr:uid="{00000000-0006-0000-0000-000001000000}">
      <text>
        <r>
          <rPr>
            <sz val="10"/>
            <rFont val="Lohit Devanagari"/>
            <family val="2"/>
          </rPr>
          <t xml:space="preserve">النتيجة </t>
        </r>
        <r>
          <rPr>
            <sz val="10"/>
            <rFont val="Arial"/>
            <family val="2"/>
          </rPr>
          <t>80/100 تقيس جودة عمل مجموعة المدقق وفق معايير النموذج.</t>
        </r>
      </text>
    </comment>
    <comment ref="G13" authorId="0" shapeId="0" xr:uid="{00000000-0006-0000-0000-000002000000}">
      <text>
        <r>
          <rPr>
            <sz val="10"/>
            <rFont val="Lohit Devanagari"/>
            <family val="2"/>
          </rPr>
          <t xml:space="preserve">النتيجة </t>
        </r>
        <r>
          <rPr>
            <sz val="10"/>
            <rFont val="Arial"/>
            <family val="2"/>
          </rPr>
          <t>67/100 مبنية على التقرير والملفات المتاحة، وهي تقييم فجوة/جاهزية وليست شهادة ISO.</t>
        </r>
      </text>
    </comment>
  </commentList>
</comments>
</file>

<file path=xl/sharedStrings.xml><?xml version="1.0" encoding="utf-8"?>
<sst xmlns="http://schemas.openxmlformats.org/spreadsheetml/2006/main" count="531" uniqueCount="289">
  <si>
    <t>لوحة تدقيق وتقييم مجموعتين — ISMS / ISO 27001:2022</t>
  </si>
  <si>
    <t>نموذج عملي لتوثيق التدقيق والتقييم وفق معايير المشروع الخمسة</t>
  </si>
  <si>
    <t>اسم المدقق</t>
  </si>
  <si>
    <t>فريق التدقيق الداخلي / فريق تقييم ISMS</t>
  </si>
  <si>
    <t>تاريخ التدقيق</t>
  </si>
  <si>
    <t>الإصدار</t>
  </si>
  <si>
    <t>1.0 - معبأ</t>
  </si>
  <si>
    <t>النتيجة وفق جدول المعايير الخمسة</t>
  </si>
  <si>
    <t>المعيار</t>
  </si>
  <si>
    <t>الوزن</t>
  </si>
  <si>
    <t>الحد الأعلى</t>
  </si>
  <si>
    <t>درجة مجموعة المدقق</t>
  </si>
  <si>
    <t>النتيجة الموزونة — المدقق</t>
  </si>
  <si>
    <t>درجة المجموعة محل التدقيق</t>
  </si>
  <si>
    <t>النتيجة الموزونة — محل التدقيق</t>
  </si>
  <si>
    <t>ملاحظات المدقق</t>
  </si>
  <si>
    <t>اكتمال الوثائق وجودتها</t>
  </si>
  <si>
    <t>المدقق: التقرير يغطي العناصر الأساسية، لكن القالب يحتوي حقولاً غير مكتملة. محل التدقيق: حزمة واسعة من الوثائق موجودة، مع فجوات في الاعتماد والاكتمال والأدلة التشغيلية.</t>
  </si>
  <si>
    <t>الترابط المنطقي</t>
  </si>
  <si>
    <t>المدقق: تم ربط النتائج بالبنود والأدلة، مع بعض التناقضات في المراجع والحالات. محل التدقيق: يوجد نطاق وأصول ومخاطر وSoA، لكن توجد تعارضات في لوحة SoA وتصنيف المخاطر.</t>
  </si>
  <si>
    <t>قابلية التطبيق العملي</t>
  </si>
  <si>
    <t>المدقق: حدد حالات عدم المطابقة والإجراءات، لكن خطة الزيارة والحقول تحتاج ضبطاً. محل التدقيق: توجد إجراءات وسياسات، إلا أن PAM وDLP وSIEM والتطوير الآمن وBCP تحتاج استكمالاً.</t>
  </si>
  <si>
    <t>الأداء في محاكاة التدقيق</t>
  </si>
  <si>
    <t>المدقق: توجد منهجية ونطاق وفحوص وأدلة محددة. محل التدقيق: تقرير التدقيق أظهر عدة مخالفات رئيسية وفجوات فعلية، ولذلك لا تعد الجاهزية مكتملة.</t>
  </si>
  <si>
    <t>العمل الجماعي</t>
  </si>
  <si>
    <t>المدقق: يوجد تقسيم للأدوار والجهات المشاركة، مع نقص في بيانات الفريق والتوقيعات. محل التدقيق: الأدوار التنظيمية محددة، لكن أدلة المشاركة الجماعية والمحاضر غير مكتملة في الحزمة.</t>
  </si>
  <si>
    <t>الإجمالي</t>
  </si>
  <si>
    <t>100%</t>
  </si>
  <si>
    <t>قرار المدقق: جيد جداً مع تحسينات. قرار المجموعة محل التدقيق: يحتاج إجراءات تصحيحية جوهرية قبل الجاهزية للتدقيق الخارجي.</t>
  </si>
  <si>
    <r>
      <rPr>
        <sz val="11"/>
        <color theme="1"/>
        <rFont val="Lohit Devanagari"/>
        <family val="2"/>
      </rPr>
      <t>ملاحظة منهجية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Lohit Devanagari"/>
        <family val="2"/>
      </rPr>
      <t xml:space="preserve">تم احتساب درجة المدقق </t>
    </r>
    <r>
      <rPr>
        <sz val="11"/>
        <color theme="1"/>
        <rFont val="Calibri"/>
        <family val="2"/>
        <charset val="1"/>
      </rPr>
      <t>= 80/100</t>
    </r>
    <r>
      <rPr>
        <sz val="11"/>
        <color theme="1"/>
        <rFont val="Lohit Devanagari"/>
        <family val="2"/>
      </rPr>
      <t xml:space="preserve">، ودرجة المجموعة محل التدقيق </t>
    </r>
    <r>
      <rPr>
        <sz val="11"/>
        <color theme="1"/>
        <rFont val="Calibri"/>
        <family val="2"/>
        <charset val="1"/>
      </rPr>
      <t xml:space="preserve">= 67/100. </t>
    </r>
    <r>
      <rPr>
        <sz val="11"/>
        <color theme="1"/>
        <rFont val="Lohit Devanagari"/>
        <family val="2"/>
      </rPr>
      <t>الدرجات تقديرية تعليمية مبنية على الأدلة الواردة في التقرير وليست نتيجة اعتماد أو شهادة</t>
    </r>
    <r>
      <rPr>
        <sz val="11"/>
        <color theme="1"/>
        <rFont val="Calibri"/>
        <family val="2"/>
        <charset val="1"/>
      </rPr>
      <t>.</t>
    </r>
  </si>
  <si>
    <t>دليل تفسير النتيجة</t>
  </si>
  <si>
    <t>90–100</t>
  </si>
  <si>
    <t>ممتاز / جاهز للتقديم الأكاديمي</t>
  </si>
  <si>
    <t>80–89</t>
  </si>
  <si>
    <t>جيد جداً / يحتاج تحسينات محدودة</t>
  </si>
  <si>
    <t>70–79</t>
  </si>
  <si>
    <t>مقبول مشروطاً / يحتاج إجراءات تصحيحية</t>
  </si>
  <si>
    <t>أقل من 70</t>
  </si>
  <si>
    <t>يحتاج إعادة بناء ومراجعة جوهرية</t>
  </si>
  <si>
    <t>قائمة تدقيق الملفات الخمسة عشر</t>
  </si>
  <si>
    <t>رقم</t>
  </si>
  <si>
    <t>الملف / المتطلب</t>
  </si>
  <si>
    <t>القالب المرجعي أو الوظيفة</t>
  </si>
  <si>
    <t>حالة مجموعة المدقق</t>
  </si>
  <si>
    <t>دليل مجموعة المدقق</t>
  </si>
  <si>
    <t>ملاحظات مجموعة المدقق</t>
  </si>
  <si>
    <t>حالة المجموعة محل التدقيق</t>
  </si>
  <si>
    <t>دليل المجموعة محل التدقيق</t>
  </si>
  <si>
    <t>ملاحظات المجموعة محل التدقيق</t>
  </si>
  <si>
    <t>درجة المدقق / 10</t>
  </si>
  <si>
    <t>درجة محل التدقيق / 10</t>
  </si>
  <si>
    <t>إجراء تصحيحي مطلوب</t>
  </si>
  <si>
    <t>وثيقة النطاق والسياق</t>
  </si>
  <si>
    <t>ISMS-DOC-04-1 — السياق والأطراف المعنية والنطاق</t>
  </si>
  <si>
    <t>سياسة أمن المعلومات</t>
  </si>
  <si>
    <t>ISMS-DOC-05-4 — القيادة والسياسة والالتزام</t>
  </si>
  <si>
    <t>أداة تقييم ومعالجة المخاطر</t>
  </si>
  <si>
    <t>ISMS-FORM-06-1 — سجل المخاطر قبل وبعد المعالجة</t>
  </si>
  <si>
    <t>بيان قابلية التطبيق SoA</t>
  </si>
  <si>
    <t>ISMS-FORM-06-2 — جميع ضوابط Annex A والمبررات</t>
  </si>
  <si>
    <t>منهجية تقييم ومعالجة المخاطر</t>
  </si>
  <si>
    <t>ISMS-DOC-06-2 — المقياس والأدوار وخيارات المعالجة</t>
  </si>
  <si>
    <t>أهداف أمن المعلومات وخطة تحقيقها</t>
  </si>
  <si>
    <t>ISMS-DOC-06-1 — أهداف قابلة للقياس ومؤشرات ومواعيد</t>
  </si>
  <si>
    <t>تقرير تقييم ومعالجة المخاطر</t>
  </si>
  <si>
    <t>ISMS-DOC-06-3 — النتائج والمخاطر المتبقية والاعتماد</t>
  </si>
  <si>
    <t>جرد الأصول المعلوماتية</t>
  </si>
  <si>
    <t>ISMS-DOC-A05-9-2 — الأصول والمالكون والتصنيف</t>
  </si>
  <si>
    <t>سياسة الاستخدام المقبول</t>
  </si>
  <si>
    <t>ISMS-DOC-A05-10-1 — استخدام الأنظمة والوصول والتوعية</t>
  </si>
  <si>
    <t>إجراء الاستجابة للحوادث</t>
  </si>
  <si>
    <t>ISMS-DOC-A05-26-1 — الكشف والتصعيد والاحتواء والتعافي</t>
  </si>
  <si>
    <t>تقرير التدقيق الداخلي</t>
  </si>
  <si>
    <t>ISMS-DOC-09-5 — المعايير والنتائج والإجراءات التصحيحية</t>
  </si>
  <si>
    <t>إجراءات التشغيل الآمن</t>
  </si>
  <si>
    <t>ISMS-DOC-A05-37-1 — إجراءات التشغيل والتسجيل والمراقبة</t>
  </si>
  <si>
    <t>تقرير أداء ISMS</t>
  </si>
  <si>
    <t>ISMS-DOC-09-1 — المؤشرات والتحليل ومراجعة الإدارة</t>
  </si>
  <si>
    <t>معيار الإعدادات الأمنية</t>
  </si>
  <si>
    <t>ISMS-DOC-A08-9-3 — خط الأساس والإعدادات والاستثناءات</t>
  </si>
  <si>
    <t>خطة استمرارية الأعمال والتعافي</t>
  </si>
  <si>
    <t>ISMS-DOC-A05-30-4 — RTO/RPO والتفعيل والاختبارات والتعافي</t>
  </si>
  <si>
    <t>مستوفى جزئياً</t>
  </si>
  <si>
    <t>Scope of the ISMS.docx</t>
  </si>
  <si>
    <r>
      <rPr>
        <sz val="11"/>
        <color theme="1"/>
        <rFont val="Lohit Devanagari"/>
        <family val="2"/>
      </rPr>
      <t>النطاق شامل، مع اختلافات في عدد أجهزة الصراف بين بعض الملفات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</si>
  <si>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>النطاق موثق، ويلزم توحيد البيانات المرجعية للأصول والمواقع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</si>
  <si>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>توحيد عدد أجهزة الصراف والحقائق المرجعية وتحديث سجل النطاق</t>
    </r>
    <r>
      <rPr>
        <sz val="11"/>
        <color theme="1"/>
        <rFont val="Calibri"/>
        <family val="2"/>
        <charset val="1"/>
      </rPr>
      <t>.</t>
    </r>
  </si>
  <si>
    <t>Information Security Policy.docx</t>
  </si>
  <si>
    <r>
      <rPr>
        <sz val="11"/>
        <color theme="1"/>
        <rFont val="Lohit Devanagari"/>
        <family val="2"/>
      </rPr>
      <t xml:space="preserve">السياسة موجودة، لكن التقرير سجل </t>
    </r>
    <r>
      <rPr>
        <sz val="11"/>
        <color theme="1"/>
        <rFont val="Calibri"/>
        <family val="2"/>
        <charset val="1"/>
      </rPr>
      <t xml:space="preserve">NCR-02 </t>
    </r>
    <r>
      <rPr>
        <sz val="11"/>
        <color theme="1"/>
        <rFont val="Lohit Devanagari"/>
        <family val="2"/>
      </rPr>
      <t xml:space="preserve">لتحديثها وإضافة أهداف </t>
    </r>
    <r>
      <rPr>
        <sz val="11"/>
        <color theme="1"/>
        <rFont val="Calibri"/>
        <family val="2"/>
        <charset val="1"/>
      </rPr>
      <t xml:space="preserve">SMART </t>
    </r>
    <r>
      <rPr>
        <sz val="11"/>
        <color theme="1"/>
        <rFont val="Lohit Devanagari"/>
        <family val="2"/>
      </rPr>
      <t>و</t>
    </r>
    <r>
      <rPr>
        <sz val="11"/>
        <color theme="1"/>
        <rFont val="Calibri"/>
        <family val="2"/>
        <charset val="1"/>
      </rPr>
      <t>PDPL.</t>
    </r>
  </si>
  <si>
    <t>غير مستوفى</t>
  </si>
  <si>
    <t>Information Security Policy.docx / Internal Audit Report.docx</t>
  </si>
  <si>
    <r>
      <rPr>
        <sz val="11"/>
        <color theme="1"/>
        <rFont val="Lohit Devanagari"/>
        <family val="2"/>
      </rPr>
      <t>السياسة لا تعكس جميع الخدمات الرقمية والأهداف وحقوق أصحاب البيانات بصورة مكتملة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</si>
  <si>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>تحديث السياسة واعتمادها ونشرها وإضافة الأهداف والالتزامات النظامية</t>
    </r>
    <r>
      <rPr>
        <sz val="11"/>
        <color theme="1"/>
        <rFont val="Calibri"/>
        <family val="2"/>
        <charset val="1"/>
      </rPr>
      <t>.</t>
    </r>
  </si>
  <si>
    <t>Risk Assessment.docx / Risk Assessment and Treatment Process.docx</t>
  </si>
  <si>
    <r>
      <rPr>
        <sz val="11"/>
        <color theme="1"/>
        <rFont val="Lohit Devanagari"/>
        <family val="2"/>
      </rPr>
      <t xml:space="preserve">التقييم موجود، لكن خمسة مخاطر </t>
    </r>
    <r>
      <rPr>
        <sz val="11"/>
        <color theme="1"/>
        <rFont val="Calibri"/>
        <family val="2"/>
        <charset val="1"/>
      </rPr>
      <t xml:space="preserve">16–20 </t>
    </r>
    <r>
      <rPr>
        <sz val="11"/>
        <color theme="1"/>
        <rFont val="Lohit Devanagari"/>
        <family val="2"/>
      </rPr>
      <t xml:space="preserve">صُنفت </t>
    </r>
    <r>
      <rPr>
        <sz val="11"/>
        <color theme="1"/>
        <rFont val="Calibri"/>
        <family val="2"/>
        <charset val="1"/>
      </rPr>
      <t xml:space="preserve">HIGH </t>
    </r>
    <r>
      <rPr>
        <sz val="11"/>
        <color theme="1"/>
        <rFont val="Lohit Devanagari"/>
        <family val="2"/>
      </rPr>
      <t xml:space="preserve">بدلاً من </t>
    </r>
    <r>
      <rPr>
        <sz val="11"/>
        <color theme="1"/>
        <rFont val="Calibri"/>
        <family val="2"/>
        <charset val="1"/>
      </rPr>
      <t xml:space="preserve">CRITICAL </t>
    </r>
    <r>
      <rPr>
        <sz val="11"/>
        <color theme="1"/>
        <rFont val="Lohit Devanagari"/>
        <family val="2"/>
      </rPr>
      <t xml:space="preserve">حسب </t>
    </r>
    <r>
      <rPr>
        <sz val="11"/>
        <color theme="1"/>
        <rFont val="Calibri"/>
        <family val="2"/>
        <charset val="1"/>
      </rPr>
      <t>NCR142-A.</t>
    </r>
  </si>
  <si>
    <t>Risk Assessment.docx / Internal Audit Report.docx</t>
  </si>
  <si>
    <r>
      <rPr>
        <sz val="11"/>
        <color theme="1"/>
        <rFont val="Lohit Devanagari"/>
        <family val="2"/>
      </rPr>
      <t>خطأ جوهري في تصنيف المخاطر وغياب بيانات بعض المعتمدين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</si>
  <si>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>تصحيح التصنيف، التصعيد، وتوثيق الموافقات والاعتمادات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</si>
  <si>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 xml:space="preserve">نسخة من </t>
    </r>
    <r>
      <rPr>
        <sz val="11"/>
        <color theme="1"/>
        <rFont val="Calibri"/>
        <family val="2"/>
        <charset val="1"/>
      </rPr>
      <t>Statement_of_Applicability1.xlsx</t>
    </r>
  </si>
  <si>
    <r>
      <rPr>
        <sz val="11"/>
        <color theme="1"/>
        <rFont val="Lohit Devanagari"/>
        <family val="2"/>
      </rPr>
      <t xml:space="preserve">التفصيل يظهر </t>
    </r>
    <r>
      <rPr>
        <sz val="11"/>
        <color theme="1"/>
        <rFont val="Calibri"/>
        <family val="2"/>
        <charset val="1"/>
      </rPr>
      <t>55/93</t>
    </r>
    <r>
      <rPr>
        <sz val="11"/>
        <color theme="1"/>
        <rFont val="Lohit Devanagari"/>
        <family val="2"/>
      </rPr>
      <t xml:space="preserve">، لكن لوحة العرض تعرض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Lohit Devanagari"/>
        <family val="2"/>
      </rPr>
      <t xml:space="preserve">بقيم ثابتة حسب </t>
    </r>
    <r>
      <rPr>
        <sz val="11"/>
        <color theme="1"/>
        <rFont val="Calibri"/>
        <family val="2"/>
        <charset val="1"/>
      </rPr>
      <t>NCR-06/NCR-13.</t>
    </r>
  </si>
  <si>
    <t>Statement_of_Applicability.xlsx / Internal Audit Report.docx</t>
  </si>
  <si>
    <r>
      <rPr>
        <sz val="11"/>
        <color theme="1"/>
        <rFont val="Lohit Devanagari"/>
        <family val="2"/>
      </rPr>
      <t>تعارض جوهري بين لوحة النتائج والتبويب التفصيلي وعدم وجود دورية تحديث واضحة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</si>
  <si>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>ربط اللوحات بالقيم الفعلية واعتماد دورية وملاك تحديث</t>
    </r>
    <r>
      <rPr>
        <sz val="11"/>
        <color theme="1"/>
        <rFont val="Calibri"/>
        <family val="2"/>
        <charset val="1"/>
      </rPr>
      <t>.</t>
    </r>
  </si>
  <si>
    <t>مستوفى</t>
  </si>
  <si>
    <t>Risk Assessment &amp; Treatment Methodology.docx</t>
  </si>
  <si>
    <r>
      <rPr>
        <sz val="11"/>
        <color theme="1"/>
        <rFont val="Lohit Devanagari"/>
        <family val="2"/>
      </rPr>
      <t xml:space="preserve">مصفوفة </t>
    </r>
    <r>
      <rPr>
        <sz val="11"/>
        <color theme="1"/>
        <rFont val="Calibri"/>
        <family val="2"/>
        <charset val="1"/>
      </rPr>
      <t xml:space="preserve">5×5 </t>
    </r>
    <r>
      <rPr>
        <sz val="11"/>
        <color theme="1"/>
        <rFont val="Lohit Devanagari"/>
        <family val="2"/>
      </rPr>
      <t xml:space="preserve">وأدوار وخيارات معالجة موثقة، مع ازدواجية مع الإجراء </t>
    </r>
    <r>
      <rPr>
        <sz val="11"/>
        <color theme="1"/>
        <rFont val="Calibri"/>
        <family val="2"/>
        <charset val="1"/>
      </rPr>
      <t>OBS-02.</t>
    </r>
  </si>
  <si>
    <r>
      <rPr>
        <sz val="11"/>
        <color theme="1"/>
        <rFont val="Lohit Devanagari"/>
        <family val="2"/>
      </rPr>
      <t>المنهجية موجودة، لكن يلزم دمجها مع الإجراء وإغلاق ازدواجية التعريفات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</si>
  <si>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>إصدار نسخة موحدة وإزالة الازدواجية واعتماد معايير القبول</t>
    </r>
    <r>
      <rPr>
        <sz val="11"/>
        <color theme="1"/>
        <rFont val="Calibri"/>
        <family val="2"/>
        <charset val="1"/>
      </rPr>
      <t>.</t>
    </r>
  </si>
  <si>
    <t>ISMS Objectives.docx</t>
  </si>
  <si>
    <r>
      <rPr>
        <sz val="11"/>
        <color theme="1"/>
        <rFont val="Lohit Devanagari"/>
        <family val="2"/>
      </rPr>
      <t>الأهداف موجودة وقابلة للقياس، لكن التقرير سجل نقص إدراجها في السياسة العليا</t>
    </r>
    <r>
      <rPr>
        <sz val="11"/>
        <color theme="1"/>
        <rFont val="Calibri"/>
        <family val="2"/>
        <charset val="1"/>
      </rPr>
      <t>.</t>
    </r>
  </si>
  <si>
    <t>ISMS Objectives.docx / Internal Audit Report.docx</t>
  </si>
  <si>
    <r>
      <rPr>
        <sz val="11"/>
        <color theme="1"/>
        <rFont val="Lohit Devanagari"/>
        <family val="2"/>
      </rPr>
      <t>الأهداف موثقة، إلا أن ربطها بالسياسة والقطاعات والأدلة يحتاج استكمالاً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</si>
  <si>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>ربط الأهداف بالسياسة العليا ومؤشرات القطاعات ومحاضر المراجعة</t>
    </r>
    <r>
      <rPr>
        <sz val="11"/>
        <color theme="1"/>
        <rFont val="Calibri"/>
        <family val="2"/>
        <charset val="1"/>
      </rPr>
      <t>.</t>
    </r>
  </si>
  <si>
    <t>Risk Assessment.docx</t>
  </si>
  <si>
    <r>
      <rPr>
        <sz val="11"/>
        <color theme="1"/>
        <rFont val="Lohit Devanagari"/>
        <family val="2"/>
      </rPr>
      <t>توجد نتائج ومخاطر ومعالجات، لكن التصنيفات والاعتمادات تحتاج تصحيحاً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</si>
  <si>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 xml:space="preserve">المخاطر الحرجة لم تصعد كما يجب، ونقص بيانات المعتمدين </t>
    </r>
    <r>
      <rPr>
        <sz val="11"/>
        <color theme="1"/>
        <rFont val="Calibri"/>
        <family val="2"/>
        <charset val="1"/>
      </rPr>
      <t>NCR-09.</t>
    </r>
  </si>
  <si>
    <r>
      <rPr>
        <sz val="11"/>
        <color theme="1"/>
        <rFont val="Lohit Devanagari"/>
        <family val="2"/>
      </rPr>
      <t>إعادة إصدار التقرير بعد التصحيح وتوثيق قبول المخاطر المتبقية</t>
    </r>
    <r>
      <rPr>
        <sz val="11"/>
        <color theme="1"/>
        <rFont val="Calibri"/>
        <family val="2"/>
        <charset val="1"/>
      </rPr>
      <t>.</t>
    </r>
  </si>
  <si>
    <t>Information Asset Inventory2.xlsx</t>
  </si>
  <si>
    <r>
      <rPr>
        <sz val="11"/>
        <color theme="1"/>
        <rFont val="Lohit Devanagari"/>
        <family val="2"/>
      </rPr>
      <t>سجل أصول مفصل بمالكين وتصنيف و</t>
    </r>
    <r>
      <rPr>
        <sz val="11"/>
        <color theme="1"/>
        <rFont val="Calibri"/>
        <family val="2"/>
        <charset val="1"/>
      </rPr>
      <t xml:space="preserve">PII </t>
    </r>
    <r>
      <rPr>
        <sz val="11"/>
        <color theme="1"/>
        <rFont val="Lohit Devanagari"/>
        <family val="2"/>
      </rPr>
      <t>واحتفاظ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</si>
  <si>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>السجل مكتمل في الأساس، لكن يلزم اتساق الأعداد والربط بأدلة التشغيل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</si>
  <si>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>تثبيت الحقائق المرجعية وربط كل أصل بدليل حماية واختبار دوري</t>
    </r>
    <r>
      <rPr>
        <sz val="11"/>
        <color theme="1"/>
        <rFont val="Calibri"/>
        <family val="2"/>
        <charset val="1"/>
      </rPr>
      <t>.</t>
    </r>
  </si>
  <si>
    <t>Acceptable Use Policy.docx</t>
  </si>
  <si>
    <r>
      <rPr>
        <sz val="11"/>
        <color theme="1"/>
        <rFont val="Lohit Devanagari"/>
        <family val="2"/>
      </rPr>
      <t>سياسة شاملة نسبياً، لكن الإقرارات والتغطية التشغيلية تحتاج تحققاً</t>
    </r>
    <r>
      <rPr>
        <sz val="11"/>
        <color theme="1"/>
        <rFont val="Calibri"/>
        <family val="2"/>
        <charset val="1"/>
      </rPr>
      <t>.</t>
    </r>
  </si>
  <si>
    <t>Acceptable Use Policy.docx / Performance Report.docx</t>
  </si>
  <si>
    <r>
      <rPr>
        <sz val="11"/>
        <color theme="1"/>
        <rFont val="Lohit Devanagari"/>
        <family val="2"/>
      </rPr>
      <t xml:space="preserve">نسبة الإقرار ليست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Lohit Devanagari"/>
        <family val="2"/>
      </rPr>
      <t>وتحتاج سجلات إلكترونية مكتملة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</si>
  <si>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>استكمال إقرارات الموظفين والمقاولين وتوثيق المراجعة الدورية</t>
    </r>
    <r>
      <rPr>
        <sz val="11"/>
        <color theme="1"/>
        <rFont val="Calibri"/>
        <family val="2"/>
        <charset val="1"/>
      </rPr>
      <t>.</t>
    </r>
  </si>
  <si>
    <t>Incident Response Procedure.docx</t>
  </si>
  <si>
    <r>
      <rPr>
        <sz val="11"/>
        <color theme="1"/>
        <rFont val="Lohit Devanagari"/>
        <family val="2"/>
      </rPr>
      <t xml:space="preserve">الدورة والإجراءات والسيناريوهات موثقة، لكن </t>
    </r>
    <r>
      <rPr>
        <sz val="11"/>
        <color theme="1"/>
        <rFont val="Calibri"/>
        <family val="2"/>
        <charset val="1"/>
      </rPr>
      <t xml:space="preserve">NCR-04 </t>
    </r>
    <r>
      <rPr>
        <sz val="11"/>
        <color theme="1"/>
        <rFont val="Lohit Devanagari"/>
        <family val="2"/>
      </rPr>
      <t>و</t>
    </r>
    <r>
      <rPr>
        <sz val="11"/>
        <color theme="1"/>
        <rFont val="Calibri"/>
        <family val="2"/>
        <charset val="1"/>
      </rPr>
      <t xml:space="preserve">NCR-10 </t>
    </r>
    <r>
      <rPr>
        <sz val="11"/>
        <color theme="1"/>
        <rFont val="Lohit Devanagari"/>
        <family val="2"/>
      </rPr>
      <t>يتعلقان بالدروس والتأخر والإبلاغ</t>
    </r>
    <r>
      <rPr>
        <sz val="11"/>
        <color theme="1"/>
        <rFont val="Calibri"/>
        <family val="2"/>
        <charset val="1"/>
      </rPr>
      <t>.</t>
    </r>
  </si>
  <si>
    <t>Incident Response Procedure.docx / Internal Audit Report.docx</t>
  </si>
  <si>
    <r>
      <rPr>
        <sz val="11"/>
        <color theme="1"/>
        <rFont val="Lohit Devanagari"/>
        <family val="2"/>
      </rPr>
      <t xml:space="preserve">لا توجد دروس مستفادة موثقة من انقطاع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Lohit Devanagari"/>
        <family val="2"/>
      </rPr>
      <t>ساعات، ووجد تأخر في الإبلاغ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</si>
  <si>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>توثيق الدروس، خطط التراجع والمراجعة الثنائية، وتحسين الإبلاغ</t>
    </r>
    <r>
      <rPr>
        <sz val="11"/>
        <color theme="1"/>
        <rFont val="Calibri"/>
        <family val="2"/>
        <charset val="1"/>
      </rPr>
      <t>.</t>
    </r>
  </si>
  <si>
    <t>Internal Audit Report.docx</t>
  </si>
  <si>
    <r>
      <rPr>
        <sz val="11"/>
        <color theme="1"/>
        <rFont val="Lohit Devanagari"/>
        <family val="2"/>
      </rPr>
      <t>التقرير يحدد النطاق والمعايير والأدلة والمخالفات، مع وجود حقول قالب غير مكتملة</t>
    </r>
    <r>
      <rPr>
        <sz val="11"/>
        <color theme="1"/>
        <rFont val="Calibri"/>
        <family val="2"/>
        <charset val="1"/>
      </rPr>
      <t>.</t>
    </r>
  </si>
  <si>
    <t>REQUIRED2-ISMS-DOC-09-5nternalAuditReport.docx</t>
  </si>
  <si>
    <r>
      <rPr>
        <sz val="11"/>
        <color theme="1"/>
        <rFont val="Lohit Devanagari"/>
        <family val="2"/>
      </rPr>
      <t>التقرير قابل للاستخدام بعد استكمال البيانات التعريفية وتوحيد المراجع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</si>
  <si>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>إزالة حقول القالب، استكمال الاعتماد والتواريخ، وتثبيت مرجع كل ملاحظة</t>
    </r>
    <r>
      <rPr>
        <sz val="11"/>
        <color theme="1"/>
        <rFont val="Calibri"/>
        <family val="2"/>
        <charset val="1"/>
      </rPr>
      <t>.</t>
    </r>
  </si>
  <si>
    <t>Secure Configuration Baseline.xlsx / Internal Audit Report.docx</t>
  </si>
  <si>
    <r>
      <rPr>
        <sz val="11"/>
        <color theme="1"/>
        <rFont val="Lohit Devanagari"/>
        <family val="2"/>
      </rPr>
      <t xml:space="preserve">خطوط تهيئة موثقة لثلاثة أصول فقط </t>
    </r>
    <r>
      <rPr>
        <sz val="11"/>
        <color theme="1"/>
        <rFont val="Calibri"/>
        <family val="2"/>
        <charset val="1"/>
      </rPr>
      <t xml:space="preserve">OBS-03 </t>
    </r>
    <r>
      <rPr>
        <sz val="11"/>
        <color theme="1"/>
        <rFont val="Lohit Devanagari"/>
        <family val="2"/>
      </rPr>
      <t xml:space="preserve">مع استثناء حساب محلي مفتوح </t>
    </r>
    <r>
      <rPr>
        <sz val="11"/>
        <color theme="1"/>
        <rFont val="Calibri"/>
        <family val="2"/>
        <charset val="1"/>
      </rPr>
      <t>OBS-04.</t>
    </r>
  </si>
  <si>
    <r>
      <rPr>
        <sz val="11"/>
        <color theme="1"/>
        <rFont val="Lohit Devanagari"/>
        <family val="2"/>
      </rPr>
      <t>التغطية محدودة ولا يوجد تاريخ إغلاق للاستثناء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</si>
  <si>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>توسيع التغطية وتوثيق قبول الاستثناء وتاريخ الإغلاق</t>
    </r>
    <r>
      <rPr>
        <sz val="11"/>
        <color theme="1"/>
        <rFont val="Calibri"/>
        <family val="2"/>
        <charset val="1"/>
      </rPr>
      <t>.</t>
    </r>
  </si>
  <si>
    <t>Performance Report.docx</t>
  </si>
  <si>
    <r>
      <rPr>
        <sz val="11"/>
        <color theme="1"/>
        <rFont val="Lohit Devanagari"/>
        <family val="2"/>
      </rPr>
      <t xml:space="preserve">توجد مؤشرات وحالات </t>
    </r>
    <r>
      <rPr>
        <sz val="11"/>
        <color theme="1"/>
        <rFont val="Calibri"/>
        <family val="2"/>
        <charset val="1"/>
      </rPr>
      <t>RAG</t>
    </r>
    <r>
      <rPr>
        <sz val="11"/>
        <color theme="1"/>
        <rFont val="Lohit Devanagari"/>
        <family val="2"/>
      </rPr>
      <t>، لكنها تظهر فجوات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Lohit Devanagari"/>
        <family val="2"/>
      </rPr>
      <t xml:space="preserve">تدريب </t>
    </r>
    <r>
      <rPr>
        <sz val="11"/>
        <color theme="1"/>
        <rFont val="Calibri"/>
        <family val="2"/>
        <charset val="1"/>
      </rPr>
      <t>75%</t>
    </r>
    <r>
      <rPr>
        <sz val="11"/>
        <color theme="1"/>
        <rFont val="Lohit Devanagari"/>
        <family val="2"/>
      </rPr>
      <t xml:space="preserve">، معالجة مخاطر </t>
    </r>
    <r>
      <rPr>
        <sz val="11"/>
        <color theme="1"/>
        <rFont val="Calibri"/>
        <family val="2"/>
        <charset val="1"/>
      </rPr>
      <t>70%</t>
    </r>
    <r>
      <rPr>
        <sz val="11"/>
        <color theme="1"/>
        <rFont val="Lohit Devanagari"/>
        <family val="2"/>
      </rPr>
      <t xml:space="preserve">، ثغرات </t>
    </r>
    <r>
      <rPr>
        <sz val="11"/>
        <color theme="1"/>
        <rFont val="Calibri"/>
        <family val="2"/>
        <charset val="1"/>
      </rPr>
      <t>85%.</t>
    </r>
  </si>
  <si>
    <r>
      <rPr>
        <sz val="11"/>
        <color theme="1"/>
        <rFont val="Lohit Devanagari"/>
        <family val="2"/>
      </rPr>
      <t>القياس موجود، لكن النتائج لا تحقق جميع المستهدفات ويجب إثبات مصدر كل مؤشر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</si>
  <si>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>إغلاق فجوات المؤشرات وربطها بمحاضر مراجعة الإدارة والإجراءات التصحيحية</t>
    </r>
    <r>
      <rPr>
        <sz val="11"/>
        <color theme="1"/>
        <rFont val="Calibri"/>
        <family val="2"/>
        <charset val="1"/>
      </rPr>
      <t>.</t>
    </r>
  </si>
  <si>
    <t>Secure Configuration Baseline.xlsx</t>
  </si>
  <si>
    <r>
      <rPr>
        <sz val="11"/>
        <color theme="1"/>
        <rFont val="Lohit Devanagari"/>
        <family val="2"/>
      </rPr>
      <t xml:space="preserve">توثيق إعدادات </t>
    </r>
    <r>
      <rPr>
        <sz val="11"/>
        <color theme="1"/>
        <rFont val="Calibri"/>
        <family val="2"/>
        <charset val="1"/>
      </rPr>
      <t xml:space="preserve">BitLocker </t>
    </r>
    <r>
      <rPr>
        <sz val="11"/>
        <color theme="1"/>
        <rFont val="Lohit Devanagari"/>
        <family val="2"/>
      </rPr>
      <t>و</t>
    </r>
    <r>
      <rPr>
        <sz val="11"/>
        <color theme="1"/>
        <rFont val="Calibri"/>
        <family val="2"/>
        <charset val="1"/>
      </rPr>
      <t xml:space="preserve">TDE </t>
    </r>
    <r>
      <rPr>
        <sz val="11"/>
        <color theme="1"/>
        <rFont val="Lohit Devanagari"/>
        <family val="2"/>
      </rPr>
      <t>و</t>
    </r>
    <r>
      <rPr>
        <sz val="11"/>
        <color theme="1"/>
        <rFont val="Calibri"/>
        <family val="2"/>
        <charset val="1"/>
      </rPr>
      <t xml:space="preserve">NTP </t>
    </r>
    <r>
      <rPr>
        <sz val="11"/>
        <color theme="1"/>
        <rFont val="Lohit Devanagari"/>
        <family val="2"/>
      </rPr>
      <t>و</t>
    </r>
    <r>
      <rPr>
        <sz val="11"/>
        <color theme="1"/>
        <rFont val="Calibri"/>
        <family val="2"/>
        <charset val="1"/>
      </rPr>
      <t>Firewall</t>
    </r>
    <r>
      <rPr>
        <sz val="11"/>
        <color theme="1"/>
        <rFont val="Lohit Devanagari"/>
        <family val="2"/>
      </rPr>
      <t>، مع عدم امتثال جزئي لحساب المشرف المحلي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</si>
  <si>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>وجود إعدادات جيدة لكن التغطية والاستثناءات غير مكتملة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</si>
  <si>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>إغلاق الحسابات المحلية أو اعتماد استثناء رسمي بموعد محدد</t>
    </r>
    <r>
      <rPr>
        <sz val="11"/>
        <color theme="1"/>
        <rFont val="Calibri"/>
        <family val="2"/>
        <charset val="1"/>
      </rPr>
      <t>.</t>
    </r>
  </si>
  <si>
    <t>BCP &amp; Disaster Recovery Plan.docx</t>
  </si>
  <si>
    <r>
      <rPr>
        <sz val="11"/>
        <color theme="1"/>
        <rFont val="Lohit Devanagari"/>
        <family val="2"/>
      </rPr>
      <t xml:space="preserve">توجد </t>
    </r>
    <r>
      <rPr>
        <sz val="11"/>
        <color theme="1"/>
        <rFont val="Calibri"/>
        <family val="2"/>
        <charset val="1"/>
      </rPr>
      <t xml:space="preserve">RTO/RPO </t>
    </r>
    <r>
      <rPr>
        <sz val="11"/>
        <color theme="1"/>
        <rFont val="Lohit Devanagari"/>
        <family val="2"/>
      </rPr>
      <t xml:space="preserve">وموقع جدة واختبارات، لكن </t>
    </r>
    <r>
      <rPr>
        <sz val="11"/>
        <color theme="1"/>
        <rFont val="Calibri"/>
        <family val="2"/>
        <charset val="1"/>
      </rPr>
      <t xml:space="preserve">NCR-08 </t>
    </r>
    <r>
      <rPr>
        <sz val="11"/>
        <color theme="1"/>
        <rFont val="Lohit Devanagari"/>
        <family val="2"/>
      </rPr>
      <t>يثبت قصور فريق الأزمات والإبلاغ وسعة المركز</t>
    </r>
    <r>
      <rPr>
        <sz val="11"/>
        <color theme="1"/>
        <rFont val="Calibri"/>
        <family val="2"/>
        <charset val="1"/>
      </rPr>
      <t>.</t>
    </r>
  </si>
  <si>
    <t>BCP &amp; Disaster Recovery Plan.docx / Internal Audit Report.docx</t>
  </si>
  <si>
    <r>
      <rPr>
        <sz val="11"/>
        <color theme="1"/>
        <rFont val="Lohit Devanagari"/>
        <family val="2"/>
      </rPr>
      <t xml:space="preserve">الخطة تحتاج سيناريوهات الفروع والصراف وإثبات قدرة مركز جدة على </t>
    </r>
    <r>
      <rPr>
        <sz val="11"/>
        <color theme="1"/>
        <rFont val="Calibri"/>
        <family val="2"/>
        <charset val="1"/>
      </rPr>
      <t>RTO=1h.</t>
    </r>
  </si>
  <si>
    <r>
      <rPr>
        <sz val="11"/>
        <color theme="1"/>
        <rFont val="Lohit Devanagari"/>
        <family val="2"/>
      </rPr>
      <t>استكمال حوكمة الأزمات وخطة إبلاغ ساما واختبار السعة والسيناريوهات</t>
    </r>
    <r>
      <rPr>
        <sz val="11"/>
        <color theme="1"/>
        <rFont val="Calibri"/>
        <family val="2"/>
        <charset val="1"/>
      </rPr>
      <t>.</t>
    </r>
  </si>
  <si>
    <t>شرح معايير التقييم والأدلة المطلوبة</t>
  </si>
  <si>
    <t>ما الذي نتحقق منه؟</t>
  </si>
  <si>
    <t>أمثلة على الأدلة</t>
  </si>
  <si>
    <t>ملاحظات المقارنة</t>
  </si>
  <si>
    <t>القرار</t>
  </si>
  <si>
    <t>وجود الملفات المطلوبة، اكتمال المحتوى، صحة القالب، نظافة الحقول، الاعتماد والتنسيق.</t>
  </si>
  <si>
    <t>الملفات الأساسية، فهرس التسليم، سجلات الإصدار والاعتماد.</t>
  </si>
  <si>
    <t>هل ينتقل المشروع من النطاق إلى الأصول ثم المخاطر فالضوابط ثم الأهداف والأداء؟</t>
  </si>
  <si>
    <t>مصفوفة التتبع، معرفات الأصول والمخاطر، ربط SoA وخطة المعالجة.</t>
  </si>
  <si>
    <t>هل يمكن تنفيذ السياسات والإجراءات في بنك حقيقي؟ وهل توجد مسؤوليات واختبارات ومؤشرات؟</t>
  </si>
  <si>
    <t>إجراءات التشغيل، الحوادث، BCP/DR، الاختبارات، السجلات، خطط المعالجة.</t>
  </si>
  <si>
    <t>هل يستطيع الفريق الإجابة وعرض الدليل وتسجيل الملاحظات والإجراءات؟</t>
  </si>
  <si>
    <t>خطة التدقيق، قائمة التحقق، تقرير التدقيق، حزمة الأدلة والعرض.</t>
  </si>
  <si>
    <t>هل تم توزيع الأدوار؟ وهل توجد مراجعة أقران ومحاضر ومشاركة فعلية؟</t>
  </si>
  <si>
    <t>سجل توزيع العمل، محاضر الاجتماعات، توقيعات الفريق، عرض جماعي.</t>
  </si>
  <si>
    <r>
      <rPr>
        <sz val="11"/>
        <color theme="1"/>
        <rFont val="Lohit Devanagari"/>
        <family val="2"/>
      </rPr>
      <t>الوثائق موجودة في الحزمة، مع حقول قالب وتعارضات وفجوات اعتماد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</si>
  <si>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>يوجد تسلسل نطاق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Lohit Devanagari"/>
        <family val="2"/>
      </rPr>
      <t>أصول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Lohit Devanagari"/>
        <family val="2"/>
      </rPr>
      <t>مخاطر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Lohit Devanagari"/>
        <family val="2"/>
      </rPr>
      <t>ضوابط، لكن تصنيف المخاطر و</t>
    </r>
    <r>
      <rPr>
        <sz val="11"/>
        <color theme="1"/>
        <rFont val="Calibri"/>
        <family val="2"/>
        <charset val="1"/>
      </rPr>
      <t xml:space="preserve">SoA </t>
    </r>
    <r>
      <rPr>
        <sz val="11"/>
        <color theme="1"/>
        <rFont val="Lohit Devanagari"/>
        <family val="2"/>
      </rPr>
      <t>غير متسقين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</si>
  <si>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>إجراءات متعددة موجودة، لكن الأدلة التشغيلية واختبارات السعة و</t>
    </r>
    <r>
      <rPr>
        <sz val="11"/>
        <color theme="1"/>
        <rFont val="Calibri"/>
        <family val="2"/>
        <charset val="1"/>
      </rPr>
      <t xml:space="preserve">PAM </t>
    </r>
    <r>
      <rPr>
        <sz val="11"/>
        <color theme="1"/>
        <rFont val="Lohit Devanagari"/>
        <family val="2"/>
      </rPr>
      <t>و</t>
    </r>
    <r>
      <rPr>
        <sz val="11"/>
        <color theme="1"/>
        <rFont val="Calibri"/>
        <family val="2"/>
        <charset val="1"/>
      </rPr>
      <t xml:space="preserve">SIEM </t>
    </r>
    <r>
      <rPr>
        <sz val="11"/>
        <color theme="1"/>
        <rFont val="Lohit Devanagari"/>
        <family val="2"/>
      </rPr>
      <t>غير مكتملة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</si>
  <si>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>التدقيق غطى البنود وأظهر الأدلة، لكن المخالفات الرئيسية تمنع الجاهزية الكاملة</t>
    </r>
    <r>
      <rPr>
        <sz val="11"/>
        <color theme="1"/>
        <rFont val="Calibri"/>
        <family val="2"/>
        <charset val="1"/>
      </rPr>
      <t>.</t>
    </r>
  </si>
  <si>
    <t>قبول مشروط</t>
  </si>
  <si>
    <r>
      <rPr>
        <sz val="11"/>
        <color theme="1"/>
        <rFont val="Lohit Devanagari"/>
        <family val="2"/>
      </rPr>
      <t>الأدوار محددة، لكن سجلات المشاركة والتوقيعات ومحاضر الفريق غير مكتملة</t>
    </r>
    <r>
      <rPr>
        <sz val="11"/>
        <color theme="1"/>
        <rFont val="Calibri"/>
        <family val="2"/>
        <charset val="1"/>
      </rPr>
      <t>.</t>
    </r>
  </si>
  <si>
    <t>سجل الأدلة والملاحظات والإجراءات التصحيحية</t>
  </si>
  <si>
    <t>المجموعة محل التدقيق</t>
  </si>
  <si>
    <t>حرجة</t>
  </si>
  <si>
    <r>
      <rPr>
        <sz val="11"/>
        <color theme="1"/>
        <rFont val="Calibri"/>
        <family val="2"/>
        <charset val="1"/>
      </rPr>
      <t xml:space="preserve">CISO / </t>
    </r>
    <r>
      <rPr>
        <sz val="11"/>
        <color theme="1"/>
        <rFont val="Lohit Devanagari"/>
        <family val="2"/>
      </rPr>
      <t>فريق المخاطر</t>
    </r>
  </si>
  <si>
    <t>2026-09-21</t>
  </si>
  <si>
    <t>مفتوح</t>
  </si>
  <si>
    <t>NCR-02</t>
  </si>
  <si>
    <t>السياسة لا تتضمن الأهداف الذكية وحقوق أصحاب البيانات وتحديثات الخدمات الرقمية بصورة مكتملة.</t>
  </si>
  <si>
    <t>تحديث السياسة واعتمادها ونشرها وتوثيق الإقرارات.</t>
  </si>
  <si>
    <t>CISO / CEO</t>
  </si>
  <si>
    <t>NCR-03</t>
  </si>
  <si>
    <t>غياب التشفير الشامل BitLocker على 2,000 جهاز محمول، مع ارتباط ذلك بحادثة فقد جهاز.</t>
  </si>
  <si>
    <t>Secure Configuration Baseline.xlsx، ورقة حواسيب الموظفين</t>
  </si>
  <si>
    <t>تفعيل BitLocker وMDM والتحقق من التغطية الكاملة.</t>
  </si>
  <si>
    <t>CIO / الدعم الفني</t>
  </si>
  <si>
    <t>2026-09-28</t>
  </si>
  <si>
    <t>NCR-04</t>
  </si>
  <si>
    <t>عدم توثيق الدروس المستفادة من انقطاع 3 ساعات وغياب خطط التراجع والمراجعة الثنائية.</t>
  </si>
  <si>
    <t>توثيق تحليل السبب الجذري والدروس وخطة التراجع والمراجعة الثنائية.</t>
  </si>
  <si>
    <t>CISO / CIO</t>
  </si>
  <si>
    <t>NCR-05</t>
  </si>
  <si>
    <t>Risk Assessment.docx / آفاق بلس</t>
  </si>
  <si>
    <t>استخدام بيانات عملاء حقيقية في بيئات التطوير والاختبار مع مطور خارجي دون تقنيع.</t>
  </si>
  <si>
    <t>منع البيانات الحقيقية، تطبيق Data Masking، وإثبات فصل البيئات.</t>
  </si>
  <si>
    <t>CIO / التطوير</t>
  </si>
  <si>
    <t>2026-10-05</t>
  </si>
  <si>
    <t>NCR-06 / NCR-13</t>
  </si>
  <si>
    <t>Statement_of_Applicability.xlsx</t>
  </si>
  <si>
    <t>لوحة SoA تعرض 100% بقيم ثابتة بينما التفاصيل تعرض 55 من 93 فقط، ولا توجد دورية تحديث واضحة.</t>
  </si>
  <si>
    <t>نسخة من Statement_of_Applicability1.xlsx</t>
  </si>
  <si>
    <t>ربط اللوحة بالقيم الفعلية وتحديد مالك ودورية التحديث.</t>
  </si>
  <si>
    <t>CISO / الحوكمة</t>
  </si>
  <si>
    <t>NCR-08</t>
  </si>
  <si>
    <t>قصور هيكلي في فريق إدارة الأزمات وخطة إبلاغ ساما وسيناريوهات الفروع والصراف، وعدم إثبات سعة جدة لـ RTO=1h.</t>
  </si>
  <si>
    <t>استكمال الحوكمة والسيناريوهات واختبار السعة والتبديل.</t>
  </si>
  <si>
    <t>CIO / لجنة الأزمات</t>
  </si>
  <si>
    <t>2026-10-12</t>
  </si>
  <si>
    <t>NCR-09</t>
  </si>
  <si>
    <t>نقص بيانات معدي ومعتمدي التقييم في ورقة تفاصيل التقييم.</t>
  </si>
  <si>
    <t>عالية</t>
  </si>
  <si>
    <t>استكمال حقول الإعداد والمراجعة والاعتماد والتوقيعات.</t>
  </si>
  <si>
    <t>فريق المخاطر</t>
  </si>
  <si>
    <t>NCR-10</t>
  </si>
  <si>
    <t>تأخر الإبلاغ عن الحوادث 48 ساعة وتدني نسبة إبلاغ الموظفين عن التصيد إلى 8%.</t>
  </si>
  <si>
    <t>Incident Response Procedure.docx / Performance Report.docx</t>
  </si>
  <si>
    <t>تحديد SLA للإبلاغ وتفعيل زر إبلاغ وتدريب ومحاكاة ربع سنوية.</t>
  </si>
  <si>
    <t>CISO / HR / SOC</t>
  </si>
  <si>
    <t>OBS-02</t>
  </si>
  <si>
    <t>ازدواجية بين وثيقة المنهجية ووثيقة الإجراء.</t>
  </si>
  <si>
    <t>Risk Assessment &amp; Treatment Methodology.docx / Risk Assessment and Treatment Process.docx</t>
  </si>
  <si>
    <t>متوسطة</t>
  </si>
  <si>
    <t>دمج التعريفات في نسخة موحدة معتمدة.</t>
  </si>
  <si>
    <t>OBS-03 / OBS-04</t>
  </si>
  <si>
    <t>تغطية خطوط التهيئة مقتصرة على ثلاثة أصول، واستثناء حساب المشرف المحلي بلا تاريخ إغلاق.</t>
  </si>
  <si>
    <t>توسيع التغطية واعتماد الاستثناء رسمياً وتحديد تاريخ إغلاق.</t>
  </si>
  <si>
    <t>OBS-05</t>
  </si>
  <si>
    <t>SOP Template - Backup Management.docx</t>
  </si>
  <si>
    <t>إجراء النسخ الاحتياطي لا يذكر قيم RTO/RPO الرقمية ومدة الاحتفاظ صراحة.</t>
  </si>
  <si>
    <t>إضافة قيم RTO/RPO ومدد الاحتفاظ واختبار الاستعادة.</t>
  </si>
  <si>
    <t>CIO / النسخ الاحتياطي</t>
  </si>
  <si>
    <t>OBS-08</t>
  </si>
  <si>
    <t>الحاجة إلى تعميم التوعية بلغات متعددة.</t>
  </si>
  <si>
    <t>Information Security Policy.docx / ISMS Objectives.docx</t>
  </si>
  <si>
    <t>منخفضة</t>
  </si>
  <si>
    <t>إصدار مواد توعية عربية وإنجليزية وتوثيق الحضور والاختبارات.</t>
  </si>
  <si>
    <t>HR / CISO</t>
  </si>
  <si>
    <t>طريقة استخدام نموذج التدقيق والتقييم</t>
  </si>
  <si>
    <t>الخطوة</t>
  </si>
  <si>
    <t>الموضوع</t>
  </si>
  <si>
    <t>التعليمات</t>
  </si>
  <si>
    <t>حالة التنفيذ</t>
  </si>
  <si>
    <t>تاريخ التنفيذ</t>
  </si>
  <si>
    <t>1</t>
  </si>
  <si>
    <t>ابدأ من لوحة التقييم</t>
  </si>
  <si>
    <t>اكتب اسم المدقق وتاريخ التدقيق. أدخل درجة كل معيار لكل مجموعة، وسيحسب الملف النتيجة الموزونة تلقائياً.</t>
  </si>
  <si>
    <t>2</t>
  </si>
  <si>
    <t>افحص الملفات الخمسة عشر</t>
  </si>
  <si>
    <t>استخدم ورقة قائمة الملفات وسجل حالة كل ملف، ورقم الملف أو اسم الدليل الذي راجعته، ثم اكتب الملاحظات.</t>
  </si>
  <si>
    <t>3</t>
  </si>
  <si>
    <t>استخدم مقياس الحالة</t>
  </si>
  <si>
    <t>اختر: مستوفى، مستوفى جزئياً، غير مستوفى، لا ينطبق، أو غير مفحوص.</t>
  </si>
  <si>
    <t>4</t>
  </si>
  <si>
    <t>استخدم سجل الأدلة</t>
  </si>
  <si>
    <t>كل ملاحظة مهمة يجب أن ترتبط بملف أو دليل. سجل الخطورة والإجراء التصحيحي والمسؤول والموعد.</t>
  </si>
  <si>
    <t>5</t>
  </si>
  <si>
    <t>قيّم المعايير الخمسة</t>
  </si>
  <si>
    <t>الدرجة في ورقة معايير التقييم من 0 إلى الحد الأعلى للمعيار، بينما درجة الملف من 0 إلى 10 لأغراض التحليل التفصيلي.</t>
  </si>
  <si>
    <t>6</t>
  </si>
  <si>
    <t>فرّق بين الوثيقة والدليل</t>
  </si>
  <si>
    <t>وجود سياسة لا يثبت تطبيقها. اطلب سجلاً أو اختباراً أو محضر اعتماد أو لقطة نظام عند تقييم قابلية التطبيق.</t>
  </si>
  <si>
    <t>7</t>
  </si>
  <si>
    <t>سجل المحاكاة بوضوح</t>
  </si>
  <si>
    <t>إذا كان الدليل محاكاة تعليمية، اكتب ذلك صراحة ولا تقدمه على أنه سجل تشغيل فعلي.</t>
  </si>
  <si>
    <t>8</t>
  </si>
  <si>
    <t>اعتمد القرار النهائي</t>
  </si>
  <si>
    <t>بعد مراجعة الأدلة، اكتب قرار المجموعة: ممتاز، جيد جداً، قبول مشروط، أو يحتاج إعادة بناء، مع ذكر أسباب القرار.</t>
  </si>
  <si>
    <r>
      <rPr>
        <sz val="11"/>
        <color theme="1"/>
        <rFont val="Lohit Devanagari"/>
        <family val="2"/>
      </rPr>
      <t>تمت تعبئة اللوحة بدرجات مقارنة مبنية على التقرير</t>
    </r>
    <r>
      <rPr>
        <sz val="11"/>
        <color theme="1"/>
        <rFont val="Calibri"/>
        <family val="2"/>
        <charset val="1"/>
      </rPr>
      <t>.</t>
    </r>
  </si>
  <si>
    <t>مكتمل</t>
  </si>
  <si>
    <t>2026-09-14</t>
  </si>
  <si>
    <r>
      <rPr>
        <sz val="11"/>
        <color theme="1"/>
        <rFont val="Lohit Devanagari"/>
        <family val="2"/>
      </rPr>
      <t xml:space="preserve">تمت مراجعة التقرير وقائمة ملفات مشروع </t>
    </r>
    <r>
      <rPr>
        <sz val="11"/>
        <color theme="1"/>
        <rFont val="Calibri"/>
        <family val="2"/>
        <charset val="1"/>
      </rPr>
      <t xml:space="preserve">ISMS </t>
    </r>
    <r>
      <rPr>
        <sz val="11"/>
        <color theme="1"/>
        <rFont val="Lohit Devanagari"/>
        <family val="2"/>
      </rPr>
      <t>المتاحة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</si>
  <si>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 xml:space="preserve">تم استخدام حالات مستوفى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مستوفى جزئياً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>غير مستوفى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</si>
  <si>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>تم ربط الملاحظات بملفات وأدلة محددة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</si>
  <si>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 xml:space="preserve">تم احتساب درجات الملفات من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Lohit Devanagari"/>
        <family val="2"/>
      </rPr>
      <t xml:space="preserve">والمعايير من أوزانها حتى </t>
    </r>
    <r>
      <rPr>
        <sz val="11"/>
        <color theme="1"/>
        <rFont val="Calibri"/>
        <family val="2"/>
        <charset val="1"/>
      </rPr>
      <t>100.</t>
    </r>
  </si>
  <si>
    <r>
      <rPr>
        <sz val="11"/>
        <color theme="1"/>
        <rFont val="Lohit Devanagari"/>
        <family val="2"/>
      </rPr>
      <t>تم التفريق بين وجود الوثيقة وإثبات التطبيق التشغيلي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</si>
  <si>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>تم التعامل مع التقرير كدليل مشروع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Lohit Devanagari"/>
        <family val="2"/>
      </rPr>
      <t>تدقيق، لا كشهادة نهائية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</si>
  <si>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Lohit Devanagari"/>
        <family val="2"/>
      </rPr>
      <t>القرار النهائي للمجموعة محل التدقيق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Lohit Devanagari"/>
        <family val="2"/>
      </rPr>
      <t>يحتاج إجراءات تصحيحية جوهرية</t>
    </r>
    <r>
      <rPr>
        <sz val="11"/>
        <color theme="1"/>
        <rFont val="Calibri"/>
        <family val="2"/>
        <charset val="1"/>
      </rPr>
      <t>.</t>
    </r>
  </si>
  <si>
    <t>تمت تعبئة اللوحة بدرجات مقارنة مبنية على التقرير.</t>
  </si>
  <si>
    <t>تمت مراجعة التقرير وقائمة ملفات مشروع ISMS المتاحة.</t>
  </si>
  <si>
    <t>تم استخدام حالات مستوفى / مستوفى جزئياً / غير مستوفى.</t>
  </si>
  <si>
    <t>تم ربط الملاحظات بملفات وأدلة محددة.</t>
  </si>
  <si>
    <t>تم احتساب درجات الملفات من 10 والمعايير من أوزانها حتى 100.</t>
  </si>
  <si>
    <t>تم التفريق بين وجود الوثيقة وإثبات التطبيق التشغيلي.</t>
  </si>
  <si>
    <t>تم التعامل مع التقرير كدليل مشروع/تدقيق، لا كشهادة نهائية.</t>
  </si>
  <si>
    <t>القرار النهائي للمجموعة محل التدقيق: يحتاج إجراءات تصحيحية جوهرية.</t>
  </si>
  <si>
    <t>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</si>
</sst>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13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1"/>
      <color rgb="FF6B6B70"/>
      <name val="Arial"/>
      <charset val="1"/>
    </font>
    <font>
      <b/>
      <sz val="11"/>
      <color rgb="FF8B78E6"/>
      <name val="Arial"/>
      <charset val="1"/>
    </font>
    <font>
      <sz val="11"/>
      <color rgb="FF2D2D30"/>
      <name val="Arial"/>
      <charset val="1"/>
    </font>
    <font>
      <b/>
      <sz val="14"/>
      <color rgb="FF8B78E6"/>
      <name val="Arial"/>
      <charset val="1"/>
    </font>
    <font>
      <b/>
      <sz val="10"/>
      <color rgb="FF2D2D30"/>
      <name val="Arial"/>
      <charset val="1"/>
    </font>
    <font>
      <sz val="10"/>
      <color rgb="FF2D2D30"/>
      <name val="Arial"/>
      <charset val="1"/>
    </font>
    <font>
      <b/>
      <sz val="11"/>
      <name val="Cambria"/>
      <charset val="1"/>
    </font>
    <font>
      <sz val="11"/>
      <color theme="1"/>
      <name val="Lohit Devanagari"/>
      <family val="2"/>
    </font>
    <font>
      <b/>
      <sz val="13"/>
      <color rgb="FF8B78E6"/>
      <name val="Arial"/>
      <charset val="1"/>
    </font>
    <font>
      <sz val="10"/>
      <name val="Lohit Devanagari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8B78E6"/>
        <bgColor rgb="FF878787"/>
      </patternFill>
    </fill>
    <fill>
      <patternFill patternType="solid">
        <fgColor rgb="FFF3F3F5"/>
        <bgColor rgb="FFEAF8FF"/>
      </patternFill>
    </fill>
    <fill>
      <patternFill patternType="solid">
        <fgColor rgb="FFAEE2FF"/>
        <bgColor rgb="FFD9EAF0"/>
      </patternFill>
    </fill>
    <fill>
      <patternFill patternType="solid">
        <fgColor rgb="FFE9E2FF"/>
        <bgColor rgb="FFD9EAF0"/>
      </patternFill>
    </fill>
    <fill>
      <patternFill patternType="solid">
        <fgColor rgb="FFD9EAD3"/>
        <bgColor rgb="FFD9EAF0"/>
      </patternFill>
    </fill>
    <fill>
      <patternFill patternType="solid">
        <fgColor rgb="FFF4CCCC"/>
        <bgColor rgb="FFD9D9D9"/>
      </patternFill>
    </fill>
    <fill>
      <patternFill patternType="solid">
        <fgColor rgb="FFFFF2CC"/>
        <bgColor rgb="FFF3F3F5"/>
      </patternFill>
    </fill>
    <fill>
      <patternFill patternType="solid">
        <fgColor rgb="FFD9EAF0"/>
        <bgColor rgb="FFD9EAD3"/>
      </patternFill>
    </fill>
  </fills>
  <borders count="2">
    <border>
      <left/>
      <right/>
      <top/>
      <bottom/>
      <diagonal/>
    </border>
    <border>
      <left style="thin">
        <color rgb="FFD9D9E2"/>
      </left>
      <right style="thin">
        <color rgb="FFD9D9E2"/>
      </right>
      <top style="thin">
        <color rgb="FFD9D9E2"/>
      </top>
      <bottom style="thin">
        <color rgb="FFD9D9E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7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164" fontId="4" fillId="3" borderId="1" xfId="0" applyNumberFormat="1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165" fontId="7" fillId="0" borderId="1" xfId="0" applyNumberFormat="1" applyFont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7" fillId="0" borderId="1" xfId="0" applyFont="1" applyBorder="1" applyAlignment="1">
      <alignment vertical="top" wrapText="1" readingOrder="2"/>
    </xf>
    <xf numFmtId="0" fontId="9" fillId="6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9" fillId="7" borderId="0" xfId="0" applyFont="1" applyFill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8B78E6"/>
      <rgbColor rgb="FFC0504D"/>
      <rgbColor rgb="FFFFF2CC"/>
      <rgbColor rgb="FFEAF8FF"/>
      <rgbColor rgb="FF660066"/>
      <rgbColor rgb="FFFF8080"/>
      <rgbColor rgb="FF0066CC"/>
      <rgbColor rgb="FFD9D9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0"/>
      <rgbColor rgb="FFD9EAD3"/>
      <rgbColor rgb="FFF3F3F5"/>
      <rgbColor rgb="FFAEE2FF"/>
      <rgbColor rgb="FFFF99CC"/>
      <rgbColor rgb="FFE9E2FF"/>
      <rgbColor rgb="FFF4CCCC"/>
      <rgbColor rgb="FF4F81BD"/>
      <rgbColor rgb="FF33CCCC"/>
      <rgbColor rgb="FF9BBB59"/>
      <rgbColor rgb="FFFFCC00"/>
      <rgbColor rgb="FFFF9900"/>
      <rgbColor rgb="FFFF6600"/>
      <rgbColor rgb="FF6B6B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2D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YE" sz="1800" b="1" strike="noStrike" spc="-1">
                <a:solidFill>
                  <a:srgbClr val="000000"/>
                </a:solidFill>
                <a:latin typeface="Calibri"/>
              </a:rPr>
              <a:t>مقارنة درجات المعايير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'لوحة التقييم'!$D$7</c:f>
              <c:strCache>
                <c:ptCount val="1"/>
                <c:pt idx="0">
                  <c:v>درجة مجموعة المدقق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'لوحة التقييم'!$A$8:$A$12</c:f>
              <c:strCache>
                <c:ptCount val="5"/>
                <c:pt idx="0">
                  <c:v>اكتمال الوثائق وجودتها</c:v>
                </c:pt>
                <c:pt idx="1">
                  <c:v>الترابط المنطقي</c:v>
                </c:pt>
                <c:pt idx="2">
                  <c:v>قابلية التطبيق العملي</c:v>
                </c:pt>
                <c:pt idx="3">
                  <c:v>الأداء في محاكاة التدقيق</c:v>
                </c:pt>
                <c:pt idx="4">
                  <c:v>العمل الجماعي</c:v>
                </c:pt>
              </c:strCache>
            </c:strRef>
          </c:cat>
          <c:val>
            <c:numRef>
              <c:f>'لوحة التقييم'!$D$8:$D$12</c:f>
              <c:numCache>
                <c:formatCode>0.0</c:formatCode>
                <c:ptCount val="5"/>
                <c:pt idx="0">
                  <c:v>20</c:v>
                </c:pt>
                <c:pt idx="1">
                  <c:v>16</c:v>
                </c:pt>
                <c:pt idx="2">
                  <c:v>16</c:v>
                </c:pt>
                <c:pt idx="3">
                  <c:v>17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2-4A3D-AD32-201A7BC81A35}"/>
            </c:ext>
          </c:extLst>
        </c:ser>
        <c:ser>
          <c:idx val="1"/>
          <c:order val="1"/>
          <c:tx>
            <c:strRef>
              <c:f>'لوحة التقييم'!$E$7</c:f>
              <c:strCache>
                <c:ptCount val="1"/>
                <c:pt idx="0">
                  <c:v>النتيجة الموزونة — المدقق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'لوحة التقييم'!$A$8:$A$12</c:f>
              <c:strCache>
                <c:ptCount val="5"/>
                <c:pt idx="0">
                  <c:v>اكتمال الوثائق وجودتها</c:v>
                </c:pt>
                <c:pt idx="1">
                  <c:v>الترابط المنطقي</c:v>
                </c:pt>
                <c:pt idx="2">
                  <c:v>قابلية التطبيق العملي</c:v>
                </c:pt>
                <c:pt idx="3">
                  <c:v>الأداء في محاكاة التدقيق</c:v>
                </c:pt>
                <c:pt idx="4">
                  <c:v>العمل الجماعي</c:v>
                </c:pt>
              </c:strCache>
            </c:strRef>
          </c:cat>
          <c:val>
            <c:numRef>
              <c:f>'لوحة التقييم'!$E$8:$E$12</c:f>
              <c:numCache>
                <c:formatCode>0.0</c:formatCode>
                <c:ptCount val="5"/>
                <c:pt idx="0">
                  <c:v>20</c:v>
                </c:pt>
                <c:pt idx="1">
                  <c:v>16</c:v>
                </c:pt>
                <c:pt idx="2">
                  <c:v>16</c:v>
                </c:pt>
                <c:pt idx="3">
                  <c:v>17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C2-4A3D-AD32-201A7BC81A35}"/>
            </c:ext>
          </c:extLst>
        </c:ser>
        <c:ser>
          <c:idx val="2"/>
          <c:order val="2"/>
          <c:tx>
            <c:strRef>
              <c:f>'لوحة التقييم'!$F$7</c:f>
              <c:strCache>
                <c:ptCount val="1"/>
                <c:pt idx="0">
                  <c:v>درجة المجموعة محل التدقيق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'لوحة التقييم'!$A$8:$A$12</c:f>
              <c:strCache>
                <c:ptCount val="5"/>
                <c:pt idx="0">
                  <c:v>اكتمال الوثائق وجودتها</c:v>
                </c:pt>
                <c:pt idx="1">
                  <c:v>الترابط المنطقي</c:v>
                </c:pt>
                <c:pt idx="2">
                  <c:v>قابلية التطبيق العملي</c:v>
                </c:pt>
                <c:pt idx="3">
                  <c:v>الأداء في محاكاة التدقيق</c:v>
                </c:pt>
                <c:pt idx="4">
                  <c:v>العمل الجماعي</c:v>
                </c:pt>
              </c:strCache>
            </c:strRef>
          </c:cat>
          <c:val>
            <c:numRef>
              <c:f>'لوحة التقييم'!$F$8:$F$12</c:f>
              <c:numCache>
                <c:formatCode>0.0</c:formatCode>
                <c:ptCount val="5"/>
                <c:pt idx="0">
                  <c:v>20</c:v>
                </c:pt>
                <c:pt idx="1">
                  <c:v>18</c:v>
                </c:pt>
                <c:pt idx="2">
                  <c:v>15</c:v>
                </c:pt>
                <c:pt idx="3">
                  <c:v>18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C2-4A3D-AD32-201A7BC81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64813"/>
        <c:axId val="94308894"/>
      </c:barChart>
      <c:catAx>
        <c:axId val="4976481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YE" sz="1000" b="1" strike="noStrike" spc="-1">
                    <a:solidFill>
                      <a:srgbClr val="000000"/>
                    </a:solidFill>
                    <a:latin typeface="Calibri"/>
                  </a:rPr>
                  <a:t>الدرجة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308894"/>
        <c:crosses val="autoZero"/>
        <c:auto val="1"/>
        <c:lblAlgn val="ctr"/>
        <c:lblOffset val="100"/>
        <c:noMultiLvlLbl val="0"/>
      </c:catAx>
      <c:valAx>
        <c:axId val="9430889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YE" sz="1000" b="1" strike="noStrike" spc="-1">
                    <a:solidFill>
                      <a:srgbClr val="000000"/>
                    </a:solidFill>
                    <a:latin typeface="Calibri"/>
                  </a:rPr>
                  <a:t>المعيار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7648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-38880</xdr:colOff>
      <xdr:row>10</xdr:row>
      <xdr:rowOff>224640</xdr:rowOff>
    </xdr:from>
    <xdr:to>
      <xdr:col>4</xdr:col>
      <xdr:colOff>0</xdr:colOff>
      <xdr:row>13</xdr:row>
      <xdr:rowOff>840240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9"/>
  <sheetViews>
    <sheetView showGridLines="0" rightToLeft="1" zoomScale="72" zoomScaleNormal="100" workbookViewId="0">
      <pane ySplit="2" topLeftCell="A10" activePane="bottomLeft" state="frozen"/>
      <selection pane="bottomLeft" activeCell="DZK1" sqref="DZK1:DZK1048576"/>
    </sheetView>
  </sheetViews>
  <sheetFormatPr defaultColWidth="8.5546875" defaultRowHeight="14.4"/>
  <cols>
    <col min="1" max="1" width="25" customWidth="1"/>
    <col min="2" max="2" width="13" customWidth="1"/>
    <col min="3" max="3" width="12" customWidth="1"/>
    <col min="4" max="4" width="17" customWidth="1"/>
    <col min="5" max="5" width="18" customWidth="1"/>
    <col min="6" max="6" width="19" customWidth="1"/>
    <col min="7" max="7" width="20" customWidth="1"/>
    <col min="8" max="8" width="32" customWidth="1"/>
    <col min="3391" max="3391" width="8.5546875" customWidth="1"/>
  </cols>
  <sheetData>
    <row r="1" spans="1:8" ht="31.5" customHeight="1">
      <c r="A1" s="3" t="s">
        <v>0</v>
      </c>
      <c r="B1" s="3"/>
      <c r="C1" s="3"/>
      <c r="D1" s="3"/>
      <c r="E1" s="3"/>
      <c r="F1" s="3"/>
      <c r="G1" s="3"/>
      <c r="H1" s="3"/>
    </row>
    <row r="2" spans="1:8" ht="24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41.4">
      <c r="A4" s="4" t="s">
        <v>2</v>
      </c>
      <c r="B4" s="5" t="s">
        <v>3</v>
      </c>
      <c r="D4" s="4" t="s">
        <v>4</v>
      </c>
      <c r="E4" s="6">
        <v>46279</v>
      </c>
      <c r="G4" s="4" t="s">
        <v>5</v>
      </c>
      <c r="H4" s="5" t="s">
        <v>6</v>
      </c>
    </row>
    <row r="6" spans="1:8" ht="34.799999999999997">
      <c r="A6" s="7" t="s">
        <v>7</v>
      </c>
    </row>
    <row r="7" spans="1:8" ht="34.5" customHeight="1">
      <c r="A7" s="8" t="s">
        <v>8</v>
      </c>
      <c r="B7" s="8" t="s">
        <v>9</v>
      </c>
      <c r="C7" s="8" t="s">
        <v>10</v>
      </c>
      <c r="D7" s="8" t="s">
        <v>11</v>
      </c>
      <c r="E7" s="8" t="s">
        <v>12</v>
      </c>
      <c r="F7" s="8" t="s">
        <v>13</v>
      </c>
      <c r="G7" s="8" t="s">
        <v>14</v>
      </c>
      <c r="H7" s="8" t="s">
        <v>15</v>
      </c>
    </row>
    <row r="8" spans="1:8" ht="52.8">
      <c r="A8" s="9" t="s">
        <v>16</v>
      </c>
      <c r="B8" s="10">
        <v>25</v>
      </c>
      <c r="C8" s="10">
        <v>25</v>
      </c>
      <c r="D8" s="10">
        <v>20</v>
      </c>
      <c r="E8" s="10">
        <f>D8/C8*B8</f>
        <v>20</v>
      </c>
      <c r="F8" s="10">
        <v>20</v>
      </c>
      <c r="G8" s="10">
        <f>F8/C8*B8</f>
        <v>20</v>
      </c>
      <c r="H8" s="9" t="s">
        <v>17</v>
      </c>
    </row>
    <row r="9" spans="1:8" ht="52.8">
      <c r="A9" s="9" t="s">
        <v>18</v>
      </c>
      <c r="B9" s="10">
        <v>20</v>
      </c>
      <c r="C9" s="10">
        <v>20</v>
      </c>
      <c r="D9" s="10">
        <v>16</v>
      </c>
      <c r="E9" s="10">
        <f>D9/C9*B9</f>
        <v>16</v>
      </c>
      <c r="F9" s="10">
        <v>18</v>
      </c>
      <c r="G9" s="10">
        <f>F9/C9*B9</f>
        <v>18</v>
      </c>
      <c r="H9" s="9" t="s">
        <v>19</v>
      </c>
    </row>
    <row r="10" spans="1:8" ht="66">
      <c r="A10" s="9" t="s">
        <v>20</v>
      </c>
      <c r="B10" s="10">
        <v>20</v>
      </c>
      <c r="C10" s="10">
        <v>20</v>
      </c>
      <c r="D10" s="10">
        <v>16</v>
      </c>
      <c r="E10" s="10">
        <f>D10/C10*B10</f>
        <v>16</v>
      </c>
      <c r="F10" s="10">
        <v>15</v>
      </c>
      <c r="G10" s="10">
        <f>F10/C10*B10</f>
        <v>15</v>
      </c>
      <c r="H10" s="9" t="s">
        <v>21</v>
      </c>
    </row>
    <row r="11" spans="1:8" ht="52.8">
      <c r="A11" s="9" t="s">
        <v>22</v>
      </c>
      <c r="B11" s="10">
        <v>20</v>
      </c>
      <c r="C11" s="10">
        <v>20</v>
      </c>
      <c r="D11" s="10">
        <v>17</v>
      </c>
      <c r="E11" s="10">
        <f>D11/C11*B11</f>
        <v>17</v>
      </c>
      <c r="F11" s="10">
        <v>18</v>
      </c>
      <c r="G11" s="10">
        <f>F11/C11*B11</f>
        <v>18</v>
      </c>
      <c r="H11" s="9" t="s">
        <v>23</v>
      </c>
    </row>
    <row r="12" spans="1:8" ht="66">
      <c r="A12" s="9" t="s">
        <v>24</v>
      </c>
      <c r="B12" s="10">
        <v>15</v>
      </c>
      <c r="C12" s="10">
        <v>15</v>
      </c>
      <c r="D12" s="10">
        <v>11</v>
      </c>
      <c r="E12" s="10">
        <f>D12/C12*B12</f>
        <v>11</v>
      </c>
      <c r="F12" s="10">
        <v>15</v>
      </c>
      <c r="G12" s="10">
        <f>F12/C12*B12</f>
        <v>15</v>
      </c>
      <c r="H12" s="9" t="s">
        <v>25</v>
      </c>
    </row>
    <row r="13" spans="1:8" ht="52.8">
      <c r="A13" s="11" t="s">
        <v>26</v>
      </c>
      <c r="B13" s="11" t="s">
        <v>27</v>
      </c>
      <c r="C13" s="11">
        <v>100</v>
      </c>
      <c r="D13" s="12">
        <f>SUM(D8:D12)</f>
        <v>80</v>
      </c>
      <c r="E13" s="12">
        <f>SUM(E8:E12)</f>
        <v>80</v>
      </c>
      <c r="F13" s="12">
        <f>SUM(F8:F12)</f>
        <v>86</v>
      </c>
      <c r="G13" s="12">
        <f>SUM(G8:G12)</f>
        <v>86</v>
      </c>
      <c r="H13" s="11" t="s">
        <v>28</v>
      </c>
    </row>
    <row r="14" spans="1:8" ht="183">
      <c r="B14" s="13" t="s">
        <v>29</v>
      </c>
    </row>
    <row r="15" spans="1:8" ht="16.8">
      <c r="A15" s="14" t="s">
        <v>30</v>
      </c>
    </row>
    <row r="16" spans="1:8" ht="15" customHeight="1">
      <c r="A16" s="9" t="s">
        <v>31</v>
      </c>
      <c r="B16" s="1" t="s">
        <v>32</v>
      </c>
      <c r="C16" s="1"/>
      <c r="D16" s="1"/>
      <c r="E16" s="1"/>
      <c r="F16" s="1"/>
      <c r="G16" s="1"/>
      <c r="H16" s="1"/>
    </row>
    <row r="17" spans="1:8" ht="15" customHeight="1">
      <c r="A17" s="9" t="s">
        <v>33</v>
      </c>
      <c r="B17" s="1" t="s">
        <v>34</v>
      </c>
      <c r="C17" s="1"/>
      <c r="D17" s="1"/>
      <c r="E17" s="1"/>
      <c r="F17" s="1"/>
      <c r="G17" s="1"/>
      <c r="H17" s="1"/>
    </row>
    <row r="18" spans="1:8" ht="15" customHeight="1">
      <c r="A18" s="9" t="s">
        <v>35</v>
      </c>
      <c r="B18" s="1" t="s">
        <v>36</v>
      </c>
      <c r="C18" s="1"/>
      <c r="D18" s="1"/>
      <c r="E18" s="1"/>
      <c r="F18" s="1"/>
      <c r="G18" s="1"/>
      <c r="H18" s="1"/>
    </row>
    <row r="19" spans="1:8" ht="15" customHeight="1">
      <c r="A19" s="9" t="s">
        <v>37</v>
      </c>
      <c r="B19" s="1" t="s">
        <v>38</v>
      </c>
      <c r="C19" s="1"/>
      <c r="D19" s="1"/>
      <c r="E19" s="1"/>
      <c r="F19" s="1"/>
      <c r="G19" s="1"/>
      <c r="H19" s="1"/>
    </row>
  </sheetData>
  <mergeCells count="6">
    <mergeCell ref="B19:H19"/>
    <mergeCell ref="A1:H1"/>
    <mergeCell ref="A2:H2"/>
    <mergeCell ref="B16:H16"/>
    <mergeCell ref="B17:H17"/>
    <mergeCell ref="B18:H18"/>
  </mergeCells>
  <pageMargins left="0.75" right="0.75" top="1" bottom="1" header="0.511811023622047" footer="0.511811023622047"/>
  <pageSetup fitToHeight="0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0"/>
  <sheetViews>
    <sheetView showGridLines="0" rightToLeft="1" tabSelected="1" topLeftCell="F1" zoomScale="87" zoomScaleNormal="70" workbookViewId="0">
      <pane ySplit="2" topLeftCell="A3" activePane="bottomLeft" state="frozen"/>
      <selection pane="bottomLeft" activeCell="G12" sqref="G12"/>
    </sheetView>
  </sheetViews>
  <sheetFormatPr defaultColWidth="8.5546875" defaultRowHeight="14.4"/>
  <cols>
    <col min="1" max="1" width="7" customWidth="1"/>
    <col min="2" max="2" width="30" customWidth="1"/>
    <col min="3" max="3" width="42" customWidth="1"/>
    <col min="4" max="4" width="18" customWidth="1"/>
    <col min="5" max="5" width="30" customWidth="1"/>
    <col min="6" max="6" width="34" customWidth="1"/>
    <col min="7" max="7" width="20" customWidth="1"/>
    <col min="8" max="8" width="30" customWidth="1"/>
    <col min="9" max="9" width="34" customWidth="1"/>
    <col min="10" max="10" width="14" customWidth="1"/>
    <col min="11" max="11" width="16" customWidth="1"/>
    <col min="12" max="12" width="35" customWidth="1"/>
  </cols>
  <sheetData>
    <row r="1" spans="1:12" ht="31.5" customHeight="1">
      <c r="A1" s="3" t="s">
        <v>39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34.5" customHeight="1">
      <c r="A4" s="8" t="s">
        <v>40</v>
      </c>
      <c r="B4" s="8" t="s">
        <v>41</v>
      </c>
      <c r="C4" s="8" t="s">
        <v>42</v>
      </c>
      <c r="D4" s="8" t="s">
        <v>43</v>
      </c>
      <c r="E4" s="8" t="s">
        <v>44</v>
      </c>
      <c r="F4" s="8" t="s">
        <v>45</v>
      </c>
      <c r="G4" s="8" t="s">
        <v>46</v>
      </c>
      <c r="H4" s="8" t="s">
        <v>47</v>
      </c>
      <c r="I4" s="8" t="s">
        <v>48</v>
      </c>
      <c r="J4" s="8" t="s">
        <v>49</v>
      </c>
      <c r="K4" s="8" t="s">
        <v>50</v>
      </c>
      <c r="L4" s="8" t="s">
        <v>51</v>
      </c>
    </row>
    <row r="5" spans="1:12" ht="28.2">
      <c r="A5" s="9">
        <v>1</v>
      </c>
      <c r="B5" s="9" t="s">
        <v>52</v>
      </c>
      <c r="C5" s="9" t="s">
        <v>53</v>
      </c>
      <c r="D5" s="16" t="s">
        <v>82</v>
      </c>
      <c r="E5" s="17" t="s">
        <v>83</v>
      </c>
      <c r="F5" s="13" t="s">
        <v>84</v>
      </c>
      <c r="G5" s="16" t="s">
        <v>82</v>
      </c>
      <c r="H5" s="17" t="s">
        <v>83</v>
      </c>
      <c r="I5" s="13" t="s">
        <v>85</v>
      </c>
      <c r="J5" s="17">
        <v>8</v>
      </c>
      <c r="K5" s="17">
        <v>7</v>
      </c>
      <c r="L5" s="13" t="s">
        <v>86</v>
      </c>
    </row>
    <row r="6" spans="1:12" ht="28.8">
      <c r="A6" s="9">
        <v>2</v>
      </c>
      <c r="B6" s="9" t="s">
        <v>54</v>
      </c>
      <c r="C6" s="9" t="s">
        <v>55</v>
      </c>
      <c r="D6" s="18" t="s">
        <v>82</v>
      </c>
      <c r="E6" s="17" t="s">
        <v>87</v>
      </c>
      <c r="F6" s="13" t="s">
        <v>88</v>
      </c>
      <c r="G6" s="18" t="s">
        <v>82</v>
      </c>
      <c r="H6" s="17" t="s">
        <v>90</v>
      </c>
      <c r="I6" s="13" t="s">
        <v>91</v>
      </c>
      <c r="J6" s="17">
        <v>7</v>
      </c>
      <c r="K6" s="17">
        <v>5</v>
      </c>
      <c r="L6" s="13" t="s">
        <v>92</v>
      </c>
    </row>
    <row r="7" spans="1:12" ht="43.2">
      <c r="A7" s="9">
        <v>3</v>
      </c>
      <c r="B7" s="9" t="s">
        <v>56</v>
      </c>
      <c r="C7" s="9" t="s">
        <v>57</v>
      </c>
      <c r="D7" s="18" t="s">
        <v>82</v>
      </c>
      <c r="E7" s="17" t="s">
        <v>93</v>
      </c>
      <c r="F7" s="13" t="s">
        <v>94</v>
      </c>
      <c r="G7" s="18" t="s">
        <v>82</v>
      </c>
      <c r="H7" s="17" t="s">
        <v>95</v>
      </c>
      <c r="I7" s="13" t="s">
        <v>96</v>
      </c>
      <c r="J7" s="17">
        <v>7</v>
      </c>
      <c r="K7" s="17">
        <v>4</v>
      </c>
      <c r="L7" s="13" t="s">
        <v>97</v>
      </c>
    </row>
    <row r="8" spans="1:12" ht="43.2">
      <c r="A8" s="9">
        <v>4</v>
      </c>
      <c r="B8" s="9" t="s">
        <v>58</v>
      </c>
      <c r="C8" s="9" t="s">
        <v>59</v>
      </c>
      <c r="D8" s="18" t="s">
        <v>82</v>
      </c>
      <c r="E8" s="13" t="s">
        <v>98</v>
      </c>
      <c r="F8" s="13" t="s">
        <v>99</v>
      </c>
      <c r="G8" s="18" t="s">
        <v>82</v>
      </c>
      <c r="H8" s="17" t="s">
        <v>100</v>
      </c>
      <c r="I8" s="13" t="s">
        <v>101</v>
      </c>
      <c r="J8" s="17">
        <v>7</v>
      </c>
      <c r="K8" s="17">
        <v>4</v>
      </c>
      <c r="L8" s="13" t="s">
        <v>102</v>
      </c>
    </row>
    <row r="9" spans="1:12" ht="28.8">
      <c r="A9" s="9">
        <v>5</v>
      </c>
      <c r="B9" s="9" t="s">
        <v>60</v>
      </c>
      <c r="C9" s="9" t="s">
        <v>61</v>
      </c>
      <c r="D9" s="16" t="s">
        <v>103</v>
      </c>
      <c r="E9" s="17" t="s">
        <v>104</v>
      </c>
      <c r="F9" s="13" t="s">
        <v>105</v>
      </c>
      <c r="G9" s="16" t="s">
        <v>82</v>
      </c>
      <c r="H9" s="17" t="s">
        <v>104</v>
      </c>
      <c r="I9" s="13" t="s">
        <v>106</v>
      </c>
      <c r="J9" s="17">
        <v>8</v>
      </c>
      <c r="K9" s="17">
        <v>7</v>
      </c>
      <c r="L9" s="13" t="s">
        <v>107</v>
      </c>
    </row>
    <row r="10" spans="1:12" ht="28.8">
      <c r="A10" s="9">
        <v>6</v>
      </c>
      <c r="B10" s="9" t="s">
        <v>62</v>
      </c>
      <c r="C10" s="9" t="s">
        <v>63</v>
      </c>
      <c r="D10" s="16" t="s">
        <v>82</v>
      </c>
      <c r="E10" s="17" t="s">
        <v>108</v>
      </c>
      <c r="F10" s="13" t="s">
        <v>109</v>
      </c>
      <c r="G10" s="16" t="s">
        <v>82</v>
      </c>
      <c r="H10" s="17" t="s">
        <v>110</v>
      </c>
      <c r="I10" s="13" t="s">
        <v>111</v>
      </c>
      <c r="J10" s="17">
        <v>8</v>
      </c>
      <c r="K10" s="17">
        <v>6</v>
      </c>
      <c r="L10" s="13" t="s">
        <v>112</v>
      </c>
    </row>
    <row r="11" spans="1:12" ht="28.8">
      <c r="A11" s="9">
        <v>7</v>
      </c>
      <c r="B11" s="9" t="s">
        <v>64</v>
      </c>
      <c r="C11" s="9" t="s">
        <v>65</v>
      </c>
      <c r="D11" s="18" t="s">
        <v>82</v>
      </c>
      <c r="E11" s="17" t="s">
        <v>113</v>
      </c>
      <c r="F11" s="13" t="s">
        <v>114</v>
      </c>
      <c r="G11" s="18" t="s">
        <v>103</v>
      </c>
      <c r="H11" s="17" t="s">
        <v>95</v>
      </c>
      <c r="I11" s="13" t="s">
        <v>115</v>
      </c>
      <c r="J11" s="17">
        <v>7</v>
      </c>
      <c r="K11" s="17">
        <v>4</v>
      </c>
      <c r="L11" s="13" t="s">
        <v>116</v>
      </c>
    </row>
    <row r="12" spans="1:12" ht="28.8">
      <c r="A12" s="9">
        <v>8</v>
      </c>
      <c r="B12" s="9" t="s">
        <v>66</v>
      </c>
      <c r="C12" s="9" t="s">
        <v>67</v>
      </c>
      <c r="D12" s="16" t="s">
        <v>103</v>
      </c>
      <c r="E12" s="17" t="s">
        <v>117</v>
      </c>
      <c r="F12" s="13" t="s">
        <v>118</v>
      </c>
      <c r="G12" s="16" t="s">
        <v>288</v>
      </c>
      <c r="H12" s="17" t="s">
        <v>117</v>
      </c>
      <c r="I12" s="13" t="s">
        <v>119</v>
      </c>
      <c r="J12" s="17">
        <v>9</v>
      </c>
      <c r="K12" s="17">
        <v>8</v>
      </c>
      <c r="L12" s="13" t="s">
        <v>120</v>
      </c>
    </row>
    <row r="13" spans="1:12" ht="28.8">
      <c r="A13" s="9">
        <v>9</v>
      </c>
      <c r="B13" s="9" t="s">
        <v>68</v>
      </c>
      <c r="C13" s="9" t="s">
        <v>69</v>
      </c>
      <c r="D13" s="16" t="s">
        <v>82</v>
      </c>
      <c r="E13" s="17" t="s">
        <v>121</v>
      </c>
      <c r="F13" s="13" t="s">
        <v>122</v>
      </c>
      <c r="G13" s="16" t="s">
        <v>82</v>
      </c>
      <c r="H13" s="17" t="s">
        <v>123</v>
      </c>
      <c r="I13" s="13" t="s">
        <v>124</v>
      </c>
      <c r="J13" s="17">
        <v>8</v>
      </c>
      <c r="K13" s="17">
        <v>7</v>
      </c>
      <c r="L13" s="13" t="s">
        <v>125</v>
      </c>
    </row>
    <row r="14" spans="1:12" ht="42.6">
      <c r="A14" s="9">
        <v>10</v>
      </c>
      <c r="B14" s="9" t="s">
        <v>70</v>
      </c>
      <c r="C14" s="9" t="s">
        <v>71</v>
      </c>
      <c r="D14" s="18" t="s">
        <v>82</v>
      </c>
      <c r="E14" s="17" t="s">
        <v>126</v>
      </c>
      <c r="F14" s="13" t="s">
        <v>127</v>
      </c>
      <c r="G14" s="18" t="s">
        <v>103</v>
      </c>
      <c r="H14" s="17" t="s">
        <v>128</v>
      </c>
      <c r="I14" s="13" t="s">
        <v>129</v>
      </c>
      <c r="J14" s="17">
        <v>8</v>
      </c>
      <c r="K14" s="17">
        <v>5</v>
      </c>
      <c r="L14" s="13" t="s">
        <v>130</v>
      </c>
    </row>
    <row r="15" spans="1:12" ht="28.8">
      <c r="A15" s="9">
        <v>11</v>
      </c>
      <c r="B15" s="9" t="s">
        <v>72</v>
      </c>
      <c r="C15" s="9" t="s">
        <v>73</v>
      </c>
      <c r="D15" s="16" t="s">
        <v>82</v>
      </c>
      <c r="E15" s="17" t="s">
        <v>131</v>
      </c>
      <c r="F15" s="13" t="s">
        <v>132</v>
      </c>
      <c r="G15" s="16" t="s">
        <v>82</v>
      </c>
      <c r="H15" s="17" t="s">
        <v>133</v>
      </c>
      <c r="I15" s="13" t="s">
        <v>134</v>
      </c>
      <c r="J15" s="17">
        <v>8</v>
      </c>
      <c r="K15" s="17">
        <v>7</v>
      </c>
      <c r="L15" s="13" t="s">
        <v>135</v>
      </c>
    </row>
    <row r="16" spans="1:12" ht="28.8">
      <c r="A16" s="9">
        <v>12</v>
      </c>
      <c r="B16" s="9" t="s">
        <v>74</v>
      </c>
      <c r="C16" s="9" t="s">
        <v>75</v>
      </c>
      <c r="D16" s="18" t="s">
        <v>89</v>
      </c>
      <c r="E16" s="17" t="s">
        <v>136</v>
      </c>
      <c r="F16" s="13" t="s">
        <v>137</v>
      </c>
      <c r="G16" s="18" t="s">
        <v>103</v>
      </c>
      <c r="H16" s="17" t="s">
        <v>136</v>
      </c>
      <c r="I16" s="13" t="s">
        <v>138</v>
      </c>
      <c r="J16" s="17">
        <v>6</v>
      </c>
      <c r="K16" s="17">
        <v>4</v>
      </c>
      <c r="L16" s="13" t="s">
        <v>139</v>
      </c>
    </row>
    <row r="17" spans="1:12" ht="43.2">
      <c r="A17" s="9">
        <v>13</v>
      </c>
      <c r="B17" s="9" t="s">
        <v>76</v>
      </c>
      <c r="C17" s="9" t="s">
        <v>77</v>
      </c>
      <c r="D17" s="16" t="s">
        <v>82</v>
      </c>
      <c r="E17" s="17" t="s">
        <v>140</v>
      </c>
      <c r="F17" s="13" t="s">
        <v>141</v>
      </c>
      <c r="G17" s="16" t="s">
        <v>82</v>
      </c>
      <c r="H17" s="17" t="s">
        <v>140</v>
      </c>
      <c r="I17" s="13" t="s">
        <v>142</v>
      </c>
      <c r="J17" s="17">
        <v>8</v>
      </c>
      <c r="K17" s="17">
        <v>6</v>
      </c>
      <c r="L17" s="13" t="s">
        <v>143</v>
      </c>
    </row>
    <row r="18" spans="1:12" ht="43.2">
      <c r="A18" s="9">
        <v>14</v>
      </c>
      <c r="B18" s="9" t="s">
        <v>78</v>
      </c>
      <c r="C18" s="9" t="s">
        <v>79</v>
      </c>
      <c r="D18" s="18" t="s">
        <v>82</v>
      </c>
      <c r="E18" s="17" t="s">
        <v>144</v>
      </c>
      <c r="F18" s="13" t="s">
        <v>145</v>
      </c>
      <c r="G18" s="18" t="s">
        <v>103</v>
      </c>
      <c r="H18" s="17" t="s">
        <v>136</v>
      </c>
      <c r="I18" s="13" t="s">
        <v>146</v>
      </c>
      <c r="J18" s="17">
        <v>8</v>
      </c>
      <c r="K18" s="17">
        <v>6</v>
      </c>
      <c r="L18" s="13" t="s">
        <v>147</v>
      </c>
    </row>
    <row r="19" spans="1:12" ht="43.2">
      <c r="A19" s="9">
        <v>15</v>
      </c>
      <c r="B19" s="9" t="s">
        <v>80</v>
      </c>
      <c r="C19" s="9" t="s">
        <v>81</v>
      </c>
      <c r="D19" s="18" t="s">
        <v>82</v>
      </c>
      <c r="E19" s="17" t="s">
        <v>148</v>
      </c>
      <c r="F19" s="13" t="s">
        <v>149</v>
      </c>
      <c r="G19" s="18" t="s">
        <v>103</v>
      </c>
      <c r="H19" s="17" t="s">
        <v>150</v>
      </c>
      <c r="I19" s="13" t="s">
        <v>151</v>
      </c>
      <c r="J19" s="17">
        <v>8</v>
      </c>
      <c r="K19" s="17">
        <v>5</v>
      </c>
      <c r="L19" s="13" t="s">
        <v>152</v>
      </c>
    </row>
    <row r="26" spans="1:12" ht="28.2">
      <c r="A26" s="13"/>
      <c r="B26" s="13"/>
      <c r="C26" s="13"/>
      <c r="D26" s="16"/>
      <c r="E26" s="17"/>
      <c r="F26" s="13" t="s">
        <v>84</v>
      </c>
      <c r="G26" s="16" t="s">
        <v>82</v>
      </c>
      <c r="H26" s="17" t="s">
        <v>83</v>
      </c>
      <c r="I26" s="13" t="s">
        <v>85</v>
      </c>
      <c r="J26" s="17">
        <v>8</v>
      </c>
      <c r="K26" s="17">
        <v>7</v>
      </c>
      <c r="L26" s="13" t="s">
        <v>86</v>
      </c>
    </row>
    <row r="27" spans="1:12" ht="28.8">
      <c r="A27" s="17"/>
      <c r="B27" s="17"/>
      <c r="C27" s="17"/>
      <c r="D27" s="18"/>
      <c r="E27" s="17" t="s">
        <v>87</v>
      </c>
      <c r="F27" s="13" t="s">
        <v>88</v>
      </c>
      <c r="G27" s="18" t="s">
        <v>89</v>
      </c>
      <c r="H27" s="17" t="s">
        <v>90</v>
      </c>
      <c r="I27" s="13" t="s">
        <v>91</v>
      </c>
      <c r="J27" s="17">
        <v>7</v>
      </c>
      <c r="K27" s="17">
        <v>5</v>
      </c>
      <c r="L27" s="13" t="s">
        <v>92</v>
      </c>
    </row>
    <row r="28" spans="1:12" ht="43.2">
      <c r="A28" s="17"/>
      <c r="B28" s="17"/>
      <c r="C28" s="17"/>
      <c r="D28" s="18"/>
      <c r="E28" s="17" t="s">
        <v>93</v>
      </c>
      <c r="F28" s="13" t="s">
        <v>94</v>
      </c>
      <c r="G28" s="18" t="s">
        <v>89</v>
      </c>
      <c r="H28" s="17" t="s">
        <v>95</v>
      </c>
      <c r="I28" s="13" t="s">
        <v>96</v>
      </c>
      <c r="J28" s="17">
        <v>7</v>
      </c>
      <c r="K28" s="17">
        <v>4</v>
      </c>
      <c r="L28" s="13" t="s">
        <v>97</v>
      </c>
    </row>
    <row r="29" spans="1:12" ht="43.2">
      <c r="A29" s="17"/>
      <c r="B29" s="17"/>
      <c r="C29" s="17"/>
      <c r="D29" s="18"/>
      <c r="E29" s="13" t="s">
        <v>98</v>
      </c>
      <c r="F29" s="13" t="s">
        <v>99</v>
      </c>
      <c r="G29" s="18" t="s">
        <v>89</v>
      </c>
      <c r="H29" s="17" t="s">
        <v>100</v>
      </c>
      <c r="I29" s="13" t="s">
        <v>101</v>
      </c>
      <c r="J29" s="17">
        <v>7</v>
      </c>
      <c r="K29" s="17">
        <v>4</v>
      </c>
      <c r="L29" s="13" t="s">
        <v>102</v>
      </c>
    </row>
    <row r="30" spans="1:12" ht="28.8">
      <c r="A30" s="17"/>
      <c r="B30" s="17"/>
      <c r="C30" s="17"/>
      <c r="D30" s="16"/>
      <c r="E30" s="17" t="s">
        <v>104</v>
      </c>
      <c r="F30" s="13" t="s">
        <v>105</v>
      </c>
      <c r="G30" s="16" t="s">
        <v>82</v>
      </c>
      <c r="H30" s="17" t="s">
        <v>104</v>
      </c>
      <c r="I30" s="13" t="s">
        <v>106</v>
      </c>
      <c r="J30" s="17">
        <v>8</v>
      </c>
      <c r="K30" s="17">
        <v>7</v>
      </c>
      <c r="L30" s="13" t="s">
        <v>107</v>
      </c>
    </row>
    <row r="31" spans="1:12" ht="28.8">
      <c r="A31" s="17"/>
      <c r="B31" s="17"/>
      <c r="C31" s="17"/>
      <c r="D31" s="16"/>
      <c r="E31" s="17" t="s">
        <v>108</v>
      </c>
      <c r="F31" s="13" t="s">
        <v>109</v>
      </c>
      <c r="G31" s="16" t="s">
        <v>82</v>
      </c>
      <c r="H31" s="17" t="s">
        <v>110</v>
      </c>
      <c r="I31" s="13" t="s">
        <v>111</v>
      </c>
      <c r="J31" s="17">
        <v>8</v>
      </c>
      <c r="K31" s="17">
        <v>6</v>
      </c>
      <c r="L31" s="13" t="s">
        <v>112</v>
      </c>
    </row>
    <row r="32" spans="1:12" ht="28.8">
      <c r="A32" s="17"/>
      <c r="B32" s="17"/>
      <c r="C32" s="17"/>
      <c r="D32" s="18"/>
      <c r="E32" s="17" t="s">
        <v>113</v>
      </c>
      <c r="F32" s="13" t="s">
        <v>114</v>
      </c>
      <c r="G32" s="18" t="s">
        <v>89</v>
      </c>
      <c r="H32" s="17" t="s">
        <v>95</v>
      </c>
      <c r="I32" s="13" t="s">
        <v>115</v>
      </c>
      <c r="J32" s="17">
        <v>7</v>
      </c>
      <c r="K32" s="17">
        <v>4</v>
      </c>
      <c r="L32" s="13" t="s">
        <v>116</v>
      </c>
    </row>
    <row r="33" spans="1:12" ht="28.8">
      <c r="A33" s="17"/>
      <c r="B33" s="17"/>
      <c r="C33" s="17"/>
      <c r="D33" s="16"/>
      <c r="E33" s="17" t="s">
        <v>117</v>
      </c>
      <c r="F33" s="13" t="s">
        <v>118</v>
      </c>
      <c r="G33" s="16" t="s">
        <v>82</v>
      </c>
      <c r="H33" s="17" t="s">
        <v>117</v>
      </c>
      <c r="I33" s="13" t="s">
        <v>119</v>
      </c>
      <c r="J33" s="17">
        <v>9</v>
      </c>
      <c r="K33" s="17">
        <v>8</v>
      </c>
      <c r="L33" s="13" t="s">
        <v>120</v>
      </c>
    </row>
    <row r="34" spans="1:12" ht="28.8">
      <c r="A34" s="17"/>
      <c r="B34" s="17"/>
      <c r="C34" s="17"/>
      <c r="D34" s="16"/>
      <c r="E34" s="17" t="s">
        <v>121</v>
      </c>
      <c r="F34" s="13" t="s">
        <v>122</v>
      </c>
      <c r="G34" s="16" t="s">
        <v>82</v>
      </c>
      <c r="H34" s="17" t="s">
        <v>123</v>
      </c>
      <c r="I34" s="13" t="s">
        <v>124</v>
      </c>
      <c r="J34" s="17">
        <v>8</v>
      </c>
      <c r="K34" s="17">
        <v>7</v>
      </c>
      <c r="L34" s="13" t="s">
        <v>125</v>
      </c>
    </row>
    <row r="35" spans="1:12" ht="42.6">
      <c r="A35" s="17"/>
      <c r="B35" s="17"/>
      <c r="C35" s="17"/>
      <c r="D35" s="18"/>
      <c r="E35" s="17" t="s">
        <v>126</v>
      </c>
      <c r="F35" s="13" t="s">
        <v>127</v>
      </c>
      <c r="G35" s="18" t="s">
        <v>89</v>
      </c>
      <c r="H35" s="17" t="s">
        <v>128</v>
      </c>
      <c r="I35" s="13" t="s">
        <v>129</v>
      </c>
      <c r="J35" s="17">
        <v>8</v>
      </c>
      <c r="K35" s="17">
        <v>5</v>
      </c>
      <c r="L35" s="13" t="s">
        <v>130</v>
      </c>
    </row>
    <row r="36" spans="1:12" ht="28.8">
      <c r="A36" s="17"/>
      <c r="B36" s="17"/>
      <c r="C36" s="17"/>
      <c r="D36" s="16"/>
      <c r="E36" s="17" t="s">
        <v>131</v>
      </c>
      <c r="F36" s="13" t="s">
        <v>132</v>
      </c>
      <c r="G36" s="16" t="s">
        <v>82</v>
      </c>
      <c r="H36" s="17" t="s">
        <v>133</v>
      </c>
      <c r="I36" s="13" t="s">
        <v>134</v>
      </c>
      <c r="J36" s="17">
        <v>8</v>
      </c>
      <c r="K36" s="17">
        <v>7</v>
      </c>
      <c r="L36" s="13" t="s">
        <v>135</v>
      </c>
    </row>
    <row r="37" spans="1:12" ht="28.8">
      <c r="A37" s="17"/>
      <c r="B37" s="17"/>
      <c r="C37" s="17"/>
      <c r="D37" s="18"/>
      <c r="E37" s="17" t="s">
        <v>136</v>
      </c>
      <c r="F37" s="13" t="s">
        <v>137</v>
      </c>
      <c r="G37" s="18" t="s">
        <v>89</v>
      </c>
      <c r="H37" s="17" t="s">
        <v>136</v>
      </c>
      <c r="I37" s="13" t="s">
        <v>138</v>
      </c>
      <c r="J37" s="17">
        <v>6</v>
      </c>
      <c r="K37" s="17">
        <v>4</v>
      </c>
      <c r="L37" s="13" t="s">
        <v>139</v>
      </c>
    </row>
    <row r="38" spans="1:12" ht="43.2">
      <c r="A38" s="17"/>
      <c r="B38" s="17"/>
      <c r="C38" s="17"/>
      <c r="D38" s="16"/>
      <c r="E38" s="17" t="s">
        <v>140</v>
      </c>
      <c r="F38" s="13" t="s">
        <v>141</v>
      </c>
      <c r="G38" s="16" t="s">
        <v>82</v>
      </c>
      <c r="H38" s="17" t="s">
        <v>140</v>
      </c>
      <c r="I38" s="13" t="s">
        <v>142</v>
      </c>
      <c r="J38" s="17">
        <v>8</v>
      </c>
      <c r="K38" s="17">
        <v>6</v>
      </c>
      <c r="L38" s="13" t="s">
        <v>143</v>
      </c>
    </row>
    <row r="39" spans="1:12" ht="43.2">
      <c r="A39" s="17"/>
      <c r="B39" s="17"/>
      <c r="C39" s="17"/>
      <c r="D39" s="18" t="s">
        <v>82</v>
      </c>
      <c r="E39" s="17" t="s">
        <v>144</v>
      </c>
      <c r="F39" s="13" t="s">
        <v>145</v>
      </c>
      <c r="G39" s="18" t="s">
        <v>89</v>
      </c>
      <c r="H39" s="17" t="s">
        <v>136</v>
      </c>
      <c r="I39" s="13" t="s">
        <v>146</v>
      </c>
      <c r="J39" s="17">
        <v>8</v>
      </c>
      <c r="K39" s="17">
        <v>6</v>
      </c>
      <c r="L39" s="13" t="s">
        <v>147</v>
      </c>
    </row>
    <row r="40" spans="1:12" ht="43.2">
      <c r="A40" s="17"/>
      <c r="B40" s="17"/>
      <c r="C40" s="17"/>
      <c r="D40" s="18" t="s">
        <v>82</v>
      </c>
      <c r="E40" s="17" t="s">
        <v>148</v>
      </c>
      <c r="F40" s="13" t="s">
        <v>149</v>
      </c>
      <c r="G40" s="18" t="s">
        <v>89</v>
      </c>
      <c r="H40" s="17" t="s">
        <v>150</v>
      </c>
      <c r="I40" s="13" t="s">
        <v>151</v>
      </c>
      <c r="J40" s="17">
        <v>8</v>
      </c>
      <c r="K40" s="17">
        <v>5</v>
      </c>
      <c r="L40" s="13" t="s">
        <v>152</v>
      </c>
    </row>
  </sheetData>
  <autoFilter ref="A4:L19" xr:uid="{00000000-0009-0000-0000-000001000000}"/>
  <mergeCells count="2">
    <mergeCell ref="A1:L1"/>
    <mergeCell ref="A2:L2"/>
  </mergeCells>
  <dataValidations count="1">
    <dataValidation type="list" allowBlank="1" sqref="D26:D40 G26:G40 D5:D19 G5:G19" xr:uid="{00000000-0002-0000-0100-000002000000}">
      <formula1>"مستوفى,مستوفى جزئياً,غير مستوفى,لا ينطبق,غير مفحوص"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51"/>
  <sheetViews>
    <sheetView showGridLines="0" rightToLeft="1" topLeftCell="C1" zoomScale="77" zoomScaleNormal="100" workbookViewId="0">
      <pane ySplit="2" topLeftCell="A3" activePane="bottomLeft" state="frozen"/>
      <selection pane="bottomLeft" activeCell="D22" sqref="D22"/>
    </sheetView>
  </sheetViews>
  <sheetFormatPr defaultColWidth="8.5546875" defaultRowHeight="14.4"/>
  <cols>
    <col min="1" max="1" width="25" customWidth="1"/>
    <col min="2" max="2" width="12" customWidth="1"/>
    <col min="3" max="4" width="48" customWidth="1"/>
    <col min="5" max="5" width="18" customWidth="1"/>
    <col min="6" max="6" width="20" customWidth="1"/>
    <col min="7" max="7" width="35" customWidth="1"/>
    <col min="8" max="8" width="22" customWidth="1"/>
  </cols>
  <sheetData>
    <row r="1" spans="1:8" ht="31.5" customHeight="1">
      <c r="A1" s="3" t="s">
        <v>153</v>
      </c>
      <c r="B1" s="3"/>
      <c r="C1" s="3"/>
      <c r="D1" s="3"/>
      <c r="E1" s="3"/>
      <c r="F1" s="3"/>
      <c r="G1" s="3"/>
      <c r="H1" s="3"/>
    </row>
    <row r="2" spans="1:8" ht="24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34.5" customHeight="1">
      <c r="A4" s="8" t="s">
        <v>8</v>
      </c>
      <c r="B4" s="8" t="s">
        <v>9</v>
      </c>
      <c r="C4" s="8" t="s">
        <v>154</v>
      </c>
      <c r="D4" s="8" t="s">
        <v>155</v>
      </c>
      <c r="E4" s="8" t="s">
        <v>11</v>
      </c>
      <c r="F4" s="8" t="s">
        <v>13</v>
      </c>
      <c r="G4" s="8" t="s">
        <v>156</v>
      </c>
      <c r="H4" s="8" t="s">
        <v>157</v>
      </c>
    </row>
    <row r="5" spans="1:8" ht="28.2">
      <c r="A5" s="9" t="s">
        <v>16</v>
      </c>
      <c r="B5" s="9">
        <v>25</v>
      </c>
      <c r="C5" s="9" t="s">
        <v>158</v>
      </c>
      <c r="D5" s="9" t="s">
        <v>159</v>
      </c>
      <c r="E5" s="17">
        <v>20</v>
      </c>
      <c r="F5" s="17">
        <v>18</v>
      </c>
      <c r="G5" s="13" t="s">
        <v>168</v>
      </c>
      <c r="H5" s="13" t="s">
        <v>82</v>
      </c>
    </row>
    <row r="6" spans="1:8" ht="28.8">
      <c r="A6" s="9" t="s">
        <v>18</v>
      </c>
      <c r="B6" s="9">
        <v>20</v>
      </c>
      <c r="C6" s="9" t="s">
        <v>160</v>
      </c>
      <c r="D6" s="9" t="s">
        <v>161</v>
      </c>
      <c r="E6" s="17">
        <v>16</v>
      </c>
      <c r="F6" s="17">
        <v>14</v>
      </c>
      <c r="G6" s="13" t="s">
        <v>169</v>
      </c>
      <c r="H6" s="13" t="s">
        <v>82</v>
      </c>
    </row>
    <row r="7" spans="1:8" ht="28.2">
      <c r="A7" s="9" t="s">
        <v>20</v>
      </c>
      <c r="B7" s="9">
        <v>20</v>
      </c>
      <c r="C7" s="9" t="s">
        <v>162</v>
      </c>
      <c r="D7" s="9" t="s">
        <v>163</v>
      </c>
      <c r="E7" s="17">
        <v>16</v>
      </c>
      <c r="F7" s="17">
        <v>12</v>
      </c>
      <c r="G7" s="13" t="s">
        <v>170</v>
      </c>
      <c r="H7" s="13" t="s">
        <v>82</v>
      </c>
    </row>
    <row r="8" spans="1:8" ht="28.2">
      <c r="A8" s="9" t="s">
        <v>22</v>
      </c>
      <c r="B8" s="9">
        <v>20</v>
      </c>
      <c r="C8" s="9" t="s">
        <v>164</v>
      </c>
      <c r="D8" s="9" t="s">
        <v>165</v>
      </c>
      <c r="E8" s="17">
        <v>17</v>
      </c>
      <c r="F8" s="17">
        <v>13</v>
      </c>
      <c r="G8" s="13" t="s">
        <v>171</v>
      </c>
      <c r="H8" s="13" t="s">
        <v>172</v>
      </c>
    </row>
    <row r="9" spans="1:8" ht="28.2">
      <c r="A9" s="9" t="s">
        <v>24</v>
      </c>
      <c r="B9" s="9">
        <v>15</v>
      </c>
      <c r="C9" s="9" t="s">
        <v>166</v>
      </c>
      <c r="D9" s="9" t="s">
        <v>167</v>
      </c>
      <c r="E9" s="17">
        <v>11</v>
      </c>
      <c r="F9" s="17">
        <v>10</v>
      </c>
      <c r="G9" s="13" t="s">
        <v>173</v>
      </c>
      <c r="H9" s="13" t="s">
        <v>82</v>
      </c>
    </row>
    <row r="47" spans="1:8">
      <c r="A47" s="17"/>
      <c r="B47" s="17"/>
      <c r="C47" s="17"/>
      <c r="D47" s="17"/>
      <c r="E47" s="17"/>
      <c r="F47" s="17"/>
      <c r="G47" s="13"/>
      <c r="H47" s="13"/>
    </row>
    <row r="48" spans="1:8">
      <c r="A48" s="17"/>
      <c r="B48" s="17"/>
      <c r="C48" s="17"/>
      <c r="D48" s="17"/>
      <c r="E48" s="17"/>
      <c r="F48" s="17"/>
      <c r="G48" s="13"/>
      <c r="H48" s="13"/>
    </row>
    <row r="49" spans="1:8">
      <c r="A49" s="17"/>
      <c r="B49" s="17"/>
      <c r="C49" s="17"/>
      <c r="D49" s="17"/>
      <c r="E49" s="17"/>
      <c r="F49" s="17"/>
      <c r="G49" s="13"/>
      <c r="H49" s="13"/>
    </row>
    <row r="50" spans="1:8">
      <c r="A50" s="17"/>
      <c r="B50" s="17"/>
      <c r="C50" s="17"/>
      <c r="D50" s="17"/>
      <c r="E50" s="17"/>
      <c r="F50" s="17"/>
      <c r="G50" s="13"/>
      <c r="H50" s="13"/>
    </row>
    <row r="51" spans="1:8">
      <c r="A51" s="17"/>
      <c r="B51" s="17"/>
      <c r="C51" s="17"/>
      <c r="D51" s="17"/>
      <c r="E51" s="17"/>
      <c r="F51" s="17"/>
      <c r="G51" s="13"/>
      <c r="H51" s="13"/>
    </row>
  </sheetData>
  <mergeCells count="2">
    <mergeCell ref="A1:H1"/>
    <mergeCell ref="A2:H2"/>
  </mergeCells>
  <pageMargins left="0.75" right="0.75" top="1" bottom="1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34"/>
  <sheetViews>
    <sheetView showGridLines="0" rightToLeft="1" zoomScale="67" zoomScaleNormal="100" workbookViewId="0">
      <pane ySplit="2" topLeftCell="A4" activePane="bottomLeft" state="frozen"/>
      <selection pane="bottomLeft" activeCell="E12" sqref="E12"/>
    </sheetView>
  </sheetViews>
  <sheetFormatPr defaultColWidth="8.5546875" defaultRowHeight="14.4"/>
  <cols>
    <col min="1" max="1" width="14" customWidth="1"/>
    <col min="2" max="2" width="22" customWidth="1"/>
    <col min="3" max="3" width="32" customWidth="1"/>
    <col min="4" max="4" width="24" customWidth="1"/>
    <col min="5" max="5" width="55" customWidth="1"/>
    <col min="6" max="6" width="42" customWidth="1"/>
    <col min="7" max="7" width="16" customWidth="1"/>
    <col min="8" max="8" width="48" customWidth="1"/>
    <col min="9" max="9" width="22" customWidth="1"/>
    <col min="10" max="10" width="16" customWidth="1"/>
    <col min="11" max="11" width="18" customWidth="1"/>
  </cols>
  <sheetData>
    <row r="1" spans="1:11" ht="31.5" customHeight="1">
      <c r="A1" s="3" t="s">
        <v>174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17"/>
      <c r="B3" s="13"/>
      <c r="C3" s="17"/>
      <c r="D3" s="13"/>
      <c r="E3" s="13"/>
      <c r="F3" s="17"/>
      <c r="G3" s="18"/>
      <c r="H3" s="13"/>
      <c r="I3" s="17" t="s">
        <v>177</v>
      </c>
      <c r="J3" s="17" t="s">
        <v>178</v>
      </c>
      <c r="K3" s="13" t="s">
        <v>179</v>
      </c>
    </row>
    <row r="4" spans="1:11" ht="34.5" customHeight="1">
      <c r="A4" s="8" t="s">
        <v>180</v>
      </c>
      <c r="B4" s="8" t="s">
        <v>175</v>
      </c>
      <c r="C4" s="8" t="s">
        <v>87</v>
      </c>
      <c r="D4" s="8" t="s">
        <v>16</v>
      </c>
      <c r="E4" s="8" t="s">
        <v>181</v>
      </c>
      <c r="F4" s="8" t="s">
        <v>90</v>
      </c>
      <c r="G4" s="19" t="s">
        <v>176</v>
      </c>
      <c r="H4" s="8" t="s">
        <v>182</v>
      </c>
      <c r="I4" s="8" t="s">
        <v>183</v>
      </c>
      <c r="J4" s="8" t="s">
        <v>178</v>
      </c>
      <c r="K4" s="8" t="s">
        <v>179</v>
      </c>
    </row>
    <row r="5" spans="1:11" ht="26.4">
      <c r="A5" s="9" t="s">
        <v>184</v>
      </c>
      <c r="B5" s="9" t="s">
        <v>175</v>
      </c>
      <c r="C5" s="9" t="s">
        <v>144</v>
      </c>
      <c r="D5" s="9" t="s">
        <v>20</v>
      </c>
      <c r="E5" s="9" t="s">
        <v>185</v>
      </c>
      <c r="F5" s="9" t="s">
        <v>186</v>
      </c>
      <c r="G5" s="20" t="s">
        <v>176</v>
      </c>
      <c r="H5" s="9" t="s">
        <v>187</v>
      </c>
      <c r="I5" s="9" t="s">
        <v>188</v>
      </c>
      <c r="J5" s="9" t="s">
        <v>189</v>
      </c>
      <c r="K5" s="9" t="s">
        <v>179</v>
      </c>
    </row>
    <row r="6" spans="1:11" ht="26.4">
      <c r="A6" s="9" t="s">
        <v>190</v>
      </c>
      <c r="B6" s="9" t="s">
        <v>175</v>
      </c>
      <c r="C6" s="9" t="s">
        <v>126</v>
      </c>
      <c r="D6" s="9" t="s">
        <v>20</v>
      </c>
      <c r="E6" s="9" t="s">
        <v>191</v>
      </c>
      <c r="F6" s="9" t="s">
        <v>128</v>
      </c>
      <c r="G6" s="20" t="s">
        <v>176</v>
      </c>
      <c r="H6" s="9" t="s">
        <v>192</v>
      </c>
      <c r="I6" s="9" t="s">
        <v>193</v>
      </c>
      <c r="J6" s="9" t="s">
        <v>189</v>
      </c>
      <c r="K6" s="9" t="s">
        <v>179</v>
      </c>
    </row>
    <row r="7" spans="1:11" ht="26.4">
      <c r="A7" s="9" t="s">
        <v>194</v>
      </c>
      <c r="B7" s="9" t="s">
        <v>175</v>
      </c>
      <c r="C7" s="9" t="s">
        <v>195</v>
      </c>
      <c r="D7" s="9" t="s">
        <v>20</v>
      </c>
      <c r="E7" s="9" t="s">
        <v>196</v>
      </c>
      <c r="F7" s="9" t="s">
        <v>95</v>
      </c>
      <c r="G7" s="20" t="s">
        <v>176</v>
      </c>
      <c r="H7" s="9" t="s">
        <v>197</v>
      </c>
      <c r="I7" s="9" t="s">
        <v>198</v>
      </c>
      <c r="J7" s="9" t="s">
        <v>199</v>
      </c>
      <c r="K7" s="9" t="s">
        <v>179</v>
      </c>
    </row>
    <row r="8" spans="1:11" ht="26.4">
      <c r="A8" s="9" t="s">
        <v>200</v>
      </c>
      <c r="B8" s="9" t="s">
        <v>175</v>
      </c>
      <c r="C8" s="9" t="s">
        <v>201</v>
      </c>
      <c r="D8" s="9" t="s">
        <v>18</v>
      </c>
      <c r="E8" s="9" t="s">
        <v>202</v>
      </c>
      <c r="F8" s="9" t="s">
        <v>203</v>
      </c>
      <c r="G8" s="20" t="s">
        <v>176</v>
      </c>
      <c r="H8" s="9" t="s">
        <v>204</v>
      </c>
      <c r="I8" s="9" t="s">
        <v>205</v>
      </c>
      <c r="J8" s="9" t="s">
        <v>178</v>
      </c>
      <c r="K8" s="9" t="s">
        <v>179</v>
      </c>
    </row>
    <row r="9" spans="1:11" ht="26.4">
      <c r="A9" s="9" t="s">
        <v>206</v>
      </c>
      <c r="B9" s="9" t="s">
        <v>175</v>
      </c>
      <c r="C9" s="9" t="s">
        <v>148</v>
      </c>
      <c r="D9" s="9" t="s">
        <v>20</v>
      </c>
      <c r="E9" s="9" t="s">
        <v>207</v>
      </c>
      <c r="F9" s="9" t="s">
        <v>150</v>
      </c>
      <c r="G9" s="20" t="s">
        <v>176</v>
      </c>
      <c r="H9" s="9" t="s">
        <v>208</v>
      </c>
      <c r="I9" s="9" t="s">
        <v>209</v>
      </c>
      <c r="J9" s="9" t="s">
        <v>210</v>
      </c>
      <c r="K9" s="9" t="s">
        <v>179</v>
      </c>
    </row>
    <row r="10" spans="1:11" ht="26.4">
      <c r="A10" s="9" t="s">
        <v>211</v>
      </c>
      <c r="B10" s="9" t="s">
        <v>175</v>
      </c>
      <c r="C10" s="9" t="s">
        <v>113</v>
      </c>
      <c r="D10" s="9" t="s">
        <v>16</v>
      </c>
      <c r="E10" s="9" t="s">
        <v>212</v>
      </c>
      <c r="F10" s="9" t="s">
        <v>95</v>
      </c>
      <c r="G10" s="21" t="s">
        <v>213</v>
      </c>
      <c r="H10" s="9" t="s">
        <v>214</v>
      </c>
      <c r="I10" s="9" t="s">
        <v>215</v>
      </c>
      <c r="J10" s="9" t="s">
        <v>178</v>
      </c>
      <c r="K10" s="9" t="s">
        <v>179</v>
      </c>
    </row>
    <row r="11" spans="1:11" ht="26.4">
      <c r="A11" s="9" t="s">
        <v>216</v>
      </c>
      <c r="B11" s="9" t="s">
        <v>175</v>
      </c>
      <c r="C11" s="9" t="s">
        <v>126</v>
      </c>
      <c r="D11" s="9" t="s">
        <v>22</v>
      </c>
      <c r="E11" s="9" t="s">
        <v>217</v>
      </c>
      <c r="F11" s="9" t="s">
        <v>218</v>
      </c>
      <c r="G11" s="21" t="s">
        <v>213</v>
      </c>
      <c r="H11" s="9" t="s">
        <v>219</v>
      </c>
      <c r="I11" s="9" t="s">
        <v>220</v>
      </c>
      <c r="J11" s="9" t="s">
        <v>199</v>
      </c>
      <c r="K11" s="9" t="s">
        <v>179</v>
      </c>
    </row>
    <row r="12" spans="1:11" ht="26.4">
      <c r="A12" s="9" t="s">
        <v>221</v>
      </c>
      <c r="B12" s="9" t="s">
        <v>175</v>
      </c>
      <c r="C12" s="9" t="s">
        <v>104</v>
      </c>
      <c r="D12" s="9" t="s">
        <v>18</v>
      </c>
      <c r="E12" s="9" t="s">
        <v>222</v>
      </c>
      <c r="F12" s="9" t="s">
        <v>223</v>
      </c>
      <c r="G12" s="22" t="s">
        <v>224</v>
      </c>
      <c r="H12" s="9" t="s">
        <v>225</v>
      </c>
      <c r="I12" s="9" t="s">
        <v>215</v>
      </c>
      <c r="J12" s="9" t="s">
        <v>210</v>
      </c>
      <c r="K12" s="9" t="s">
        <v>179</v>
      </c>
    </row>
    <row r="13" spans="1:11" ht="26.4">
      <c r="A13" s="9" t="s">
        <v>226</v>
      </c>
      <c r="B13" s="9" t="s">
        <v>175</v>
      </c>
      <c r="C13" s="9" t="s">
        <v>144</v>
      </c>
      <c r="D13" s="9" t="s">
        <v>20</v>
      </c>
      <c r="E13" s="9" t="s">
        <v>227</v>
      </c>
      <c r="F13" s="9" t="s">
        <v>144</v>
      </c>
      <c r="G13" s="21" t="s">
        <v>213</v>
      </c>
      <c r="H13" s="9" t="s">
        <v>228</v>
      </c>
      <c r="I13" s="9" t="s">
        <v>188</v>
      </c>
      <c r="J13" s="9" t="s">
        <v>210</v>
      </c>
      <c r="K13" s="9" t="s">
        <v>179</v>
      </c>
    </row>
    <row r="14" spans="1:11" ht="26.4">
      <c r="A14" s="9" t="s">
        <v>229</v>
      </c>
      <c r="B14" s="9" t="s">
        <v>175</v>
      </c>
      <c r="C14" s="9" t="s">
        <v>230</v>
      </c>
      <c r="D14" s="9" t="s">
        <v>16</v>
      </c>
      <c r="E14" s="9" t="s">
        <v>231</v>
      </c>
      <c r="F14" s="9" t="s">
        <v>230</v>
      </c>
      <c r="G14" s="22" t="s">
        <v>224</v>
      </c>
      <c r="H14" s="9" t="s">
        <v>232</v>
      </c>
      <c r="I14" s="9" t="s">
        <v>233</v>
      </c>
      <c r="J14" s="9" t="s">
        <v>199</v>
      </c>
      <c r="K14" s="9" t="s">
        <v>179</v>
      </c>
    </row>
    <row r="15" spans="1:11" ht="26.4">
      <c r="A15" s="9" t="s">
        <v>234</v>
      </c>
      <c r="B15" s="9" t="s">
        <v>175</v>
      </c>
      <c r="C15" s="9" t="s">
        <v>87</v>
      </c>
      <c r="D15" s="9" t="s">
        <v>24</v>
      </c>
      <c r="E15" s="9" t="s">
        <v>235</v>
      </c>
      <c r="F15" s="9" t="s">
        <v>236</v>
      </c>
      <c r="G15" s="22" t="s">
        <v>237</v>
      </c>
      <c r="H15" s="9" t="s">
        <v>238</v>
      </c>
      <c r="I15" s="9" t="s">
        <v>239</v>
      </c>
      <c r="J15" s="9" t="s">
        <v>210</v>
      </c>
      <c r="K15" s="9" t="s">
        <v>179</v>
      </c>
    </row>
    <row r="16" spans="1:1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spans="1:1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spans="1:1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</row>
    <row r="26" spans="1:1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spans="1:1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spans="1:1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spans="1:1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1:1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1:1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spans="1:1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spans="1:1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1:1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</row>
  </sheetData>
  <autoFilter ref="A4:K34" xr:uid="{00000000-0009-0000-0000-000003000000}"/>
  <mergeCells count="2">
    <mergeCell ref="A1:K1"/>
    <mergeCell ref="A2:K2"/>
  </mergeCells>
  <dataValidations count="3">
    <dataValidation type="list" allowBlank="1" sqref="B5:B34" xr:uid="{00000000-0002-0000-0300-000000000000}">
      <formula1>"مجموعة المدقق,المجموعة محل التدقيق"</formula1>
      <formula2>0</formula2>
    </dataValidation>
    <dataValidation type="list" allowBlank="1" sqref="G5:G34" xr:uid="{00000000-0002-0000-0300-000001000000}">
      <formula1>"منخفضة,متوسطة,عالية,جوهرية"</formula1>
      <formula2>0</formula2>
    </dataValidation>
    <dataValidation type="list" allowBlank="1" sqref="K3:K34" xr:uid="{00000000-0002-0000-0300-000002000000}">
      <formula1>"مفتوح,قيد التنفيذ,مغلق,مقبول من الإدارة"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71"/>
  <sheetViews>
    <sheetView showGridLines="0" rightToLeft="1" topLeftCell="C1" zoomScaleNormal="100" workbookViewId="0">
      <pane ySplit="2" topLeftCell="A7" activePane="bottomLeft" state="frozen"/>
      <selection pane="bottomLeft" activeCell="E19" sqref="E19"/>
    </sheetView>
  </sheetViews>
  <sheetFormatPr defaultColWidth="8.5546875" defaultRowHeight="14.4"/>
  <cols>
    <col min="1" max="1" width="10" customWidth="1"/>
    <col min="2" max="2" width="28" customWidth="1"/>
    <col min="3" max="3" width="78" customWidth="1"/>
    <col min="4" max="4" width="40" customWidth="1"/>
    <col min="5" max="5" width="18" customWidth="1"/>
    <col min="6" max="6" width="16" customWidth="1"/>
  </cols>
  <sheetData>
    <row r="1" spans="1:6" ht="31.5" customHeight="1">
      <c r="A1" s="3" t="s">
        <v>240</v>
      </c>
      <c r="B1" s="3"/>
      <c r="C1" s="3"/>
      <c r="D1" s="3"/>
      <c r="E1" s="3"/>
      <c r="F1" s="3"/>
    </row>
    <row r="2" spans="1:6" ht="24" customHeight="1">
      <c r="A2" s="2" t="s">
        <v>1</v>
      </c>
      <c r="B2" s="2"/>
      <c r="C2" s="2"/>
      <c r="D2" s="2"/>
      <c r="E2" s="2"/>
      <c r="F2" s="2"/>
    </row>
    <row r="4" spans="1:6" ht="34.5" customHeight="1">
      <c r="A4" s="8" t="s">
        <v>241</v>
      </c>
      <c r="B4" s="8" t="s">
        <v>242</v>
      </c>
      <c r="C4" s="8" t="s">
        <v>243</v>
      </c>
      <c r="D4" s="8" t="s">
        <v>15</v>
      </c>
      <c r="E4" s="8" t="s">
        <v>244</v>
      </c>
      <c r="F4" s="8" t="s">
        <v>245</v>
      </c>
    </row>
    <row r="5" spans="1:6">
      <c r="A5" s="9" t="s">
        <v>246</v>
      </c>
      <c r="B5" s="9" t="s">
        <v>247</v>
      </c>
      <c r="C5" s="9" t="s">
        <v>248</v>
      </c>
      <c r="D5" s="15" t="s">
        <v>280</v>
      </c>
      <c r="E5" s="9" t="s">
        <v>271</v>
      </c>
      <c r="F5" s="15" t="s">
        <v>272</v>
      </c>
    </row>
    <row r="6" spans="1:6">
      <c r="A6" s="9" t="s">
        <v>249</v>
      </c>
      <c r="B6" s="9" t="s">
        <v>250</v>
      </c>
      <c r="C6" s="9" t="s">
        <v>251</v>
      </c>
      <c r="D6" s="15" t="s">
        <v>281</v>
      </c>
      <c r="E6" s="9" t="s">
        <v>271</v>
      </c>
      <c r="F6" s="15" t="s">
        <v>272</v>
      </c>
    </row>
    <row r="7" spans="1:6">
      <c r="A7" s="9" t="s">
        <v>252</v>
      </c>
      <c r="B7" s="9" t="s">
        <v>253</v>
      </c>
      <c r="C7" s="9" t="s">
        <v>254</v>
      </c>
      <c r="D7" s="15" t="s">
        <v>282</v>
      </c>
      <c r="E7" s="9" t="s">
        <v>271</v>
      </c>
      <c r="F7" s="15" t="s">
        <v>272</v>
      </c>
    </row>
    <row r="8" spans="1:6">
      <c r="A8" s="9" t="s">
        <v>255</v>
      </c>
      <c r="B8" s="9" t="s">
        <v>256</v>
      </c>
      <c r="C8" s="9" t="s">
        <v>257</v>
      </c>
      <c r="D8" s="15" t="s">
        <v>283</v>
      </c>
      <c r="E8" s="9" t="s">
        <v>271</v>
      </c>
      <c r="F8" s="15" t="s">
        <v>272</v>
      </c>
    </row>
    <row r="9" spans="1:6" ht="26.4">
      <c r="A9" s="9" t="s">
        <v>258</v>
      </c>
      <c r="B9" s="9" t="s">
        <v>259</v>
      </c>
      <c r="C9" s="9" t="s">
        <v>260</v>
      </c>
      <c r="D9" s="15" t="s">
        <v>284</v>
      </c>
      <c r="E9" s="9" t="s">
        <v>271</v>
      </c>
      <c r="F9" s="15" t="s">
        <v>272</v>
      </c>
    </row>
    <row r="10" spans="1:6">
      <c r="A10" s="9" t="s">
        <v>261</v>
      </c>
      <c r="B10" s="9" t="s">
        <v>262</v>
      </c>
      <c r="C10" s="9" t="s">
        <v>263</v>
      </c>
      <c r="D10" s="15" t="s">
        <v>285</v>
      </c>
      <c r="E10" s="9" t="s">
        <v>271</v>
      </c>
      <c r="F10" s="15" t="s">
        <v>272</v>
      </c>
    </row>
    <row r="11" spans="1:6">
      <c r="A11" s="9" t="s">
        <v>264</v>
      </c>
      <c r="B11" s="9" t="s">
        <v>265</v>
      </c>
      <c r="C11" s="9" t="s">
        <v>266</v>
      </c>
      <c r="D11" s="15" t="s">
        <v>286</v>
      </c>
      <c r="E11" s="9" t="s">
        <v>271</v>
      </c>
      <c r="F11" s="15" t="s">
        <v>272</v>
      </c>
    </row>
    <row r="12" spans="1:6" ht="26.4">
      <c r="A12" s="9" t="s">
        <v>267</v>
      </c>
      <c r="B12" s="9" t="s">
        <v>268</v>
      </c>
      <c r="C12" s="9" t="s">
        <v>269</v>
      </c>
      <c r="D12" s="15" t="s">
        <v>287</v>
      </c>
      <c r="E12" s="9" t="s">
        <v>271</v>
      </c>
      <c r="F12" s="15" t="s">
        <v>272</v>
      </c>
    </row>
    <row r="64" spans="1:6">
      <c r="A64" s="17"/>
      <c r="B64" s="17"/>
      <c r="C64" s="17"/>
      <c r="D64" s="13" t="s">
        <v>270</v>
      </c>
      <c r="E64" s="13" t="s">
        <v>271</v>
      </c>
      <c r="F64" s="17" t="s">
        <v>272</v>
      </c>
    </row>
    <row r="65" spans="1:6">
      <c r="A65" s="17"/>
      <c r="B65" s="17"/>
      <c r="C65" s="17"/>
      <c r="D65" s="13" t="s">
        <v>273</v>
      </c>
      <c r="E65" s="13" t="s">
        <v>271</v>
      </c>
      <c r="F65" s="17" t="s">
        <v>272</v>
      </c>
    </row>
    <row r="66" spans="1:6">
      <c r="A66" s="17"/>
      <c r="B66" s="17"/>
      <c r="C66" s="17"/>
      <c r="D66" s="13" t="s">
        <v>274</v>
      </c>
      <c r="E66" s="13" t="s">
        <v>271</v>
      </c>
      <c r="F66" s="17" t="s">
        <v>272</v>
      </c>
    </row>
    <row r="67" spans="1:6">
      <c r="A67" s="17"/>
      <c r="B67" s="17"/>
      <c r="C67" s="17"/>
      <c r="D67" s="13" t="s">
        <v>275</v>
      </c>
      <c r="E67" s="13" t="s">
        <v>271</v>
      </c>
      <c r="F67" s="17" t="s">
        <v>272</v>
      </c>
    </row>
    <row r="68" spans="1:6" ht="28.8">
      <c r="A68" s="17"/>
      <c r="B68" s="17"/>
      <c r="C68" s="17"/>
      <c r="D68" s="13" t="s">
        <v>276</v>
      </c>
      <c r="E68" s="13" t="s">
        <v>271</v>
      </c>
      <c r="F68" s="17" t="s">
        <v>272</v>
      </c>
    </row>
    <row r="69" spans="1:6">
      <c r="A69" s="17"/>
      <c r="B69" s="17"/>
      <c r="C69" s="17"/>
      <c r="D69" s="13" t="s">
        <v>277</v>
      </c>
      <c r="E69" s="13" t="s">
        <v>271</v>
      </c>
      <c r="F69" s="17" t="s">
        <v>272</v>
      </c>
    </row>
    <row r="70" spans="1:6">
      <c r="A70" s="17"/>
      <c r="B70" s="17"/>
      <c r="C70" s="17"/>
      <c r="D70" s="13" t="s">
        <v>278</v>
      </c>
      <c r="E70" s="13" t="s">
        <v>271</v>
      </c>
      <c r="F70" s="17" t="s">
        <v>272</v>
      </c>
    </row>
    <row r="71" spans="1:6" ht="28.8">
      <c r="A71" s="17"/>
      <c r="B71" s="17"/>
      <c r="C71" s="17"/>
      <c r="D71" s="13" t="s">
        <v>279</v>
      </c>
      <c r="E71" s="13" t="s">
        <v>271</v>
      </c>
      <c r="F71" s="17" t="s">
        <v>272</v>
      </c>
    </row>
  </sheetData>
  <mergeCells count="2">
    <mergeCell ref="A1:F1"/>
    <mergeCell ref="A2:F2"/>
  </mergeCells>
  <dataValidations count="1">
    <dataValidation type="list" allowBlank="1" sqref="E5:E12" xr:uid="{00000000-0002-0000-0400-000000000000}">
      <formula1>"لم يبدأ,قيد التنفيذ,مكتمل"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لوحة التقييم</vt:lpstr>
      <vt:lpstr>قائمة الملفات</vt:lpstr>
      <vt:lpstr>معايير التقييم</vt:lpstr>
      <vt:lpstr>سجل الأدلة والملاحظات</vt:lpstr>
      <vt:lpstr>التعليمات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AL-Nehmi</dc:creator>
  <cp:lastModifiedBy>Alnehmiomer@gmail.com</cp:lastModifiedBy>
  <dcterms:created xsi:type="dcterms:W3CDTF">2026-09-14T09:03:00Z</dcterms:created>
  <dcterms:modified xsi:type="dcterms:W3CDTF">2026-09-14T09:08:19Z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2026-09-13T18:22:09Z</dcterms:created>
  <dc:creator>openpyxl</dc:creator>
  <dc:description/>
  <dc:language>en-US</dc:language>
  <cp:lastModifiedBy/>
  <dcterms:modified xsi:type="dcterms:W3CDTF">2026-09-14T08:36:36Z</dcterms:modified>
  <cp:revision>0</cp:revision>
  <dc:subject/>
  <dc:title/>
</cp:coreProperties>
</file>